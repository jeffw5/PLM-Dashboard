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jects" sheetId="2" state="visible" r:id="rId4"/>
    <sheet name="Rule Traceability" sheetId="3" state="visible" r:id="rId5"/>
    <sheet name="Coverage" sheetId="4" state="visible" r:id="rId6"/>
    <sheet name="Register" sheetId="5" state="visible" r:id="rId7"/>
    <sheet name="Phase Gates" sheetId="6" state="visible" r:id="rId8"/>
  </sheets>
  <definedNames>
    <definedName function="false" hidden="true" localSheetId="5" name="_xlnm._FilterDatabase" vbProcedure="false">'Phase Gates'!$A$1:$C$5</definedName>
    <definedName function="false" hidden="true" localSheetId="1" name="_xlnm._FilterDatabase" vbProcedure="false">Projects!$A$1:$Q$29</definedName>
    <definedName function="false" hidden="true" localSheetId="2" name="_xlnm._FilterDatabase" vbProcedure="false">'Rule Traceability'!$A$1:$L$193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<sst xmlns="http://schemas.openxmlformats.org/spreadsheetml/2006/main" count="3272" uniqueCount="926">
  <si>
    <t xml:space="preserve">Insperity Project Portfolio — Holonic Semantic Governance Program</t>
  </si>
  <si>
    <t xml:space="preserve">Prepared by Jeffrey Wallk, The Value Enablement Group, LLC · illustrative planning portfolio, not an Insperity-endorsed document</t>
  </si>
  <si>
    <t xml:space="preserve">How this list was derived</t>
  </si>
  <si>
    <t xml:space="preserve">Roadmap: Insperity Intelligence Holarchy (IIH) four-phase plan — Phase 0 Foundation (M1–2), Phase 1 Jarvis MVP (M3–6), Phase 2 Expansion (M7–12), Phase 3 Enterprise Holarchy (M13–18).</t>
  </si>
  <si>
    <t xml:space="preserve">Value proposition: nine capabilities (C1–C9) from 'The Value Jeffrey Brings to Insperity' and the IIH trust model; every project realizes at least one.</t>
  </si>
  <si>
    <t xml:space="preserve">Policies &amp; governance: all 142 rules in the SSOT HR Policy Rules Register are assigned to at least one owning project (see Rule Traceability).</t>
  </si>
  <si>
    <t xml:space="preserve">Sheets</t>
  </si>
  <si>
    <t xml:space="preserve">Projects — one row per project: phase, owner, capabilities, deliverables, KPI, dependencies, rule coverage.</t>
  </si>
  <si>
    <t xml:space="preserve">Rule Traceability — one row per project × rule, with statute, domain, type and lifecycle phase from the register.</t>
  </si>
  <si>
    <t xml:space="preserve">Coverage — live formulas: projects and rules by phase, domain and capability.</t>
  </si>
  <si>
    <t xml:space="preserve">Phase Gates — governance gate criteria each phase must clear before the next is funded.</t>
  </si>
  <si>
    <t xml:space="preserve">Companion files</t>
  </si>
  <si>
    <t xml:space="preserve">Insperity Solution Architecture.html · Insperity PLM Dashboard.html · Insperity Impact Tracer.html</t>
  </si>
  <si>
    <t xml:space="preserve">Project ID</t>
  </si>
  <si>
    <t xml:space="preserve">Project</t>
  </si>
  <si>
    <t xml:space="preserve">Phase</t>
  </si>
  <si>
    <t xml:space="preserve">Window</t>
  </si>
  <si>
    <t xml:space="preserve">Domain holon</t>
  </si>
  <si>
    <t xml:space="preserve">Owner</t>
  </si>
  <si>
    <t xml:space="preserve">Priority</t>
  </si>
  <si>
    <t xml:space="preserve">Size</t>
  </si>
  <si>
    <t xml:space="preserve">Current lifecycle stage</t>
  </si>
  <si>
    <t xml:space="preserve">Value-prop capabilities</t>
  </si>
  <si>
    <t xml:space="preserve">Summary</t>
  </si>
  <si>
    <t xml:space="preserve">Key deliverables</t>
  </si>
  <si>
    <t xml:space="preserve">Success KPI</t>
  </si>
  <si>
    <t xml:space="preserve">Depends on</t>
  </si>
  <si>
    <t xml:space="preserve">Rules owned</t>
  </si>
  <si>
    <t xml:space="preserve">Rule IDs</t>
  </si>
  <si>
    <t xml:space="preserve">Governing regimes</t>
  </si>
  <si>
    <t xml:space="preserve">ISP-01</t>
  </si>
  <si>
    <t xml:space="preserve">Core PEO Ontology (isp-core) &amp; ORSD Templates</t>
  </si>
  <si>
    <t xml:space="preserve">Phase 0 · Foundation</t>
  </si>
  <si>
    <t xml:space="preserve">Months 1–2</t>
  </si>
  <si>
    <t xml:space="preserve">Enterprise L4 / isp-core</t>
  </si>
  <si>
    <t xml:space="preserve">Knowledge Engineer</t>
  </si>
  <si>
    <t xml:space="preserve">Critical</t>
  </si>
  <si>
    <t xml:space="preserve">M</t>
  </si>
  <si>
    <t xml:space="preserve">Deliver</t>
  </si>
  <si>
    <t xml:space="preserve">C1 Single source of truth for policy; C7 Governance that scales</t>
  </si>
  <si>
    <t xml:space="preserve">Canonical entity model (ClientCompany, Worker, Jurisdiction, EmploymentType, StatutoryStandard) and the owl:imports federation contract every domain holon inherits.</t>
  </si>
  <si>
    <t xml:space="preserve">isp-core OWL + SKOS vocabularies; ORSD templates for 6 IP asset types; federation pattern for 5 domain ontologies</t>
  </si>
  <si>
    <t xml:space="preserve">Core ontology live; ORSD templates approved</t>
  </si>
  <si>
    <t xml:space="preserve">—</t>
  </si>
  <si>
    <t xml:space="preserve">GOV-004, GOV-005, GOV-017, GOV-018</t>
  </si>
  <si>
    <t xml:space="preserve">ISO 8000; OMG ODM/DPROD; LKIF</t>
  </si>
  <si>
    <t xml:space="preserve">ISP-02</t>
  </si>
  <si>
    <t xml:space="preserve">SSOT Policy Rules Register &amp; LKIF Wave 1</t>
  </si>
  <si>
    <t xml:space="preserve">All L2 domain holons</t>
  </si>
  <si>
    <t xml:space="preserve">Compliance Governance Lead</t>
  </si>
  <si>
    <t xml:space="preserve">C1 Single source of truth for policy; C5 Faster, auditable compliance response</t>
  </si>
  <si>
    <t xml:space="preserve">Turns the 142-rule register into governed LKIF obligations, permissions and prohibitions paired with SHACL shapes — the seed library for compilation.</t>
  </si>
  <si>
    <t xml:space="preserve">142 rules keyed and owned; LKIF norms for 4 federal frameworks; rule-to-statute provenance</t>
  </si>
  <si>
    <t xml:space="preserve">LKIF library covers 4 frameworks; 100% rules with owner + source</t>
  </si>
  <si>
    <t xml:space="preserve">PAY-001, PAY-002, PAY-008, BEN-005, CMP-001, TAL-001, GOV-017, GOV-023</t>
  </si>
  <si>
    <t xml:space="preserve">FLSA; Title VII / EEOC; OSHA; ERISA</t>
  </si>
  <si>
    <t xml:space="preserve">ISP-03</t>
  </si>
  <si>
    <t xml:space="preserve">Box AI Admission Bridge (33M records → L1 holons)</t>
  </si>
  <si>
    <t xml:space="preserve">Mediation Holon</t>
  </si>
  <si>
    <t xml:space="preserve">Platform Team Lead</t>
  </si>
  <si>
    <t xml:space="preserve">High</t>
  </si>
  <si>
    <t xml:space="preserve">Develop</t>
  </si>
  <si>
    <t xml:space="preserve">C1 Single source of truth for policy; C8 Trusted HR assistant (Jarvis, MTBH-governed)</t>
  </si>
  <si>
    <t xml:space="preserve">Connects the existing Box AI content cloud to the admission pipeline so plan documents, handbooks and carrier contracts become SHACL-validated knowledge holons.</t>
  </si>
  <si>
    <t xml:space="preserve">Admission connector; SHACL admission gate; quarantine + KGCL rejection records</t>
  </si>
  <si>
    <t xml:space="preserve">≥2,000 seed assets admitted; SHACL pass ≥98%</t>
  </si>
  <si>
    <t xml:space="preserve">GOV-006, GOV-010</t>
  </si>
  <si>
    <t xml:space="preserve">SOC 2; HIPAA Security Rule</t>
  </si>
  <si>
    <t xml:space="preserve">ISP-04</t>
  </si>
  <si>
    <t xml:space="preserve">SAML Identity &amp; URI Resolution Registry v1</t>
  </si>
  <si>
    <t xml:space="preserve">Identity Architect</t>
  </si>
  <si>
    <t xml:space="preserve">S</t>
  </si>
  <si>
    <t xml:space="preserve">C9 Co-employment tenant isolation; C7 Governance that scales</t>
  </si>
  <si>
    <t xml:space="preserve">Canonical Worksite Employee and Client Employer entity IDs, resolving payroll, carrier, 401(k), ATS and LMS identifiers before any domain needs them.</t>
  </si>
  <si>
    <t xml:space="preserve">Entity ID schemas; resolution service; ISO 8000 uniqueness checks</t>
  </si>
  <si>
    <t xml:space="preserve">Canonical IDs for employee &amp; employer; 0 unresolved duplicates in pilot</t>
  </si>
  <si>
    <t xml:space="preserve">GOV-007, TEC-001</t>
  </si>
  <si>
    <t xml:space="preserve">SOC 2; CCPA/CPRA; ISO 8000</t>
  </si>
  <si>
    <t xml:space="preserve">ISP-05</t>
  </si>
  <si>
    <t xml:space="preserve">KGCL Change Governance &amp; Semantic Governance Council Charter</t>
  </si>
  <si>
    <t xml:space="preserve">Enterprise L4</t>
  </si>
  <si>
    <t xml:space="preserve">Governance Lead</t>
  </si>
  <si>
    <t xml:space="preserve">C7 Governance that scales; C5 Faster, auditable compliance response</t>
  </si>
  <si>
    <t xml:space="preserve">Five-dimension (WHO/WHAT/WHEN/WHERE/WHY) change records on every triple; DEV/STG/PRD promotion gates; ARB routing for ontology change.</t>
  </si>
  <si>
    <t xml:space="preserve">Council charter; KGCL capture live; promotion-gate workflow; MTBH before-state benchmark</t>
  </si>
  <si>
    <t xml:space="preserve">100% ontology changes carry KGCL record</t>
  </si>
  <si>
    <t xml:space="preserve">GOV-002, GOV-003, GOV-018</t>
  </si>
  <si>
    <t xml:space="preserve">ISO/IEC 42001; NIST AI RMF</t>
  </si>
  <si>
    <t xml:space="preserve">ISP-06</t>
  </si>
  <si>
    <t xml:space="preserve">Payroll &amp; Tax Domain Holon (isp-pay)</t>
  </si>
  <si>
    <t xml:space="preserve">Phase 1 · Jarvis MVP</t>
  </si>
  <si>
    <t xml:space="preserve">Months 3–6</t>
  </si>
  <si>
    <t xml:space="preserve">L2 · Payroll &amp; Tax</t>
  </si>
  <si>
    <t xml:space="preserve">Domain Team — Payroll</t>
  </si>
  <si>
    <t xml:space="preserve">L</t>
  </si>
  <si>
    <t xml:space="preserve">Design</t>
  </si>
  <si>
    <t xml:space="preserve">C1 Single source of truth for policy; C5 Faster, auditable compliance response; C8 Trusted HR assistant (Jarvis, MTBH-governed)</t>
  </si>
  <si>
    <t xml:space="preserve">FLSA and state overtime, multi-state wage bases, SUTA/SIT nexus and PFML withholding modeled once and compiled to runtime checks for gross-to-net.</t>
  </si>
  <si>
    <t xml:space="preserve">isp-pay ontology; SHACL/SWRL invariants; domain agent; hybrid vector DB; 6 PEPs</t>
  </si>
  <si>
    <t xml:space="preserve">Pre-run catch rate ≥99%; manual correction hours −80%</t>
  </si>
  <si>
    <t xml:space="preserve">ISP-01, ISP-02, ISP-08</t>
  </si>
  <si>
    <t xml:space="preserve">PAY-002, PAY-005, PAY-006, PAY-007, PAY-010, PAY-011, PAY-012, PAY-013, PAY-014, PAY-017, PAY-018, PAY-021, PAY-025, PAY-026, PAY-027, CMP-018, PAY-009, PAY-015, PAY-016, PAY-019, PAY-020</t>
  </si>
  <si>
    <t xml:space="preserve">FLSA; State wage &amp; hour codes; SUTA / SIT / local tax; State PFML</t>
  </si>
  <si>
    <t xml:space="preserve">ISP-07</t>
  </si>
  <si>
    <t xml:space="preserve">Benefits &amp; Retirement Domain Holon (isp-ben)</t>
  </si>
  <si>
    <t xml:space="preserve">L2 · Benefits</t>
  </si>
  <si>
    <t xml:space="preserve">Domain Team — Benefits</t>
  </si>
  <si>
    <t xml:space="preserve">C1 Single source of truth for policy; C8 Trusted HR assistant (Jarvis, MTBH-governed); C2 Personal-model-driven compliance</t>
  </si>
  <si>
    <t xml:space="preserve">Reference implementation of the five-component holon: MEP/PEP fiduciary structure, ACA ALE and affordability logic, SECURE 2.0 eligibility and COBRA events.</t>
  </si>
  <si>
    <t xml:space="preserve">isp-ben ontology; ERISA/ACA-grounded PEPs; carrier EDI 834 alignment; GraphRAG index</t>
  </si>
  <si>
    <t xml:space="preserve">Benefits answer accuracy ≥98%; stale-answer risk −90%</t>
  </si>
  <si>
    <t xml:space="preserve">ISP-01, ISP-02, ISP-03</t>
  </si>
  <si>
    <t xml:space="preserve">BEN-001, BEN-002, BEN-003, BEN-004, BEN-005, BEN-006, BEN-008, BEN-009, BEN-010, BEN-012, BEN-014, BEN-015, BEN-016, BEN-019, BEN-022, BEN-007, BEN-011, BEN-013, BEN-017, BEN-018, BEN-020</t>
  </si>
  <si>
    <t xml:space="preserve">ERISA; ACA; SECURE 2.0; CAA / TiC / MHPAEA; COBRA; HIPAA</t>
  </si>
  <si>
    <t xml:space="preserve">ISP-08</t>
  </si>
  <si>
    <t xml:space="preserve">SHACL-to-Policy Compilation Pipeline</t>
  </si>
  <si>
    <t xml:space="preserve">Gateway Engineering Lead</t>
  </si>
  <si>
    <t xml:space="preserve">Six stages — parse, extract, harmonize, target-map, generate, KGCL publish — emitting dbt/SQL tests and OPA/Rego policies with URI traceability to the source norm.</t>
  </si>
  <si>
    <t xml:space="preserve">Rule projection agents; compiled policy registry; dbt + Rego emitters</t>
  </si>
  <si>
    <t xml:space="preserve">Law change → compiled policy in production ≤5 days; 100% runtime rules carry source URI</t>
  </si>
  <si>
    <t xml:space="preserve">ISP-01, ISP-02</t>
  </si>
  <si>
    <t xml:space="preserve">GOV-001, GOV-019, GOV-020, GOV-022, GOV-024, TEC-021</t>
  </si>
  <si>
    <t xml:space="preserve">SOC 1 (SSAE 18); SOC 2</t>
  </si>
  <si>
    <t xml:space="preserve">ISP-09</t>
  </si>
  <si>
    <t xml:space="preserve">Rule Harmonization Engine (most-stringent-rule)</t>
  </si>
  <si>
    <t xml:space="preserve">Define</t>
  </si>
  <si>
    <t xml:space="preserve">SPARQL conflict scans across federal/state/local norms, enforcing highest-employee-protection precedence before any rule is published.</t>
  </si>
  <si>
    <t xml:space="preserve">Conflict scan library; precedence model; conflict review queue</t>
  </si>
  <si>
    <t xml:space="preserve">0 unresolved jurisdiction conflicts at publish</t>
  </si>
  <si>
    <t xml:space="preserve">GOV-008, GOV-009, PAY-002, PAY-004, PAY-026</t>
  </si>
  <si>
    <t xml:space="preserve">FLSA; State wage &amp; hour codes; Municipal minimum wage</t>
  </si>
  <si>
    <t xml:space="preserve">ISP-10</t>
  </si>
  <si>
    <t xml:space="preserve">RDSG Gateway, MTBH Circuit Breaker &amp; Simplex Action Gate</t>
  </si>
  <si>
    <t xml:space="preserve">L3 · Gateway Holon</t>
  </si>
  <si>
    <t xml:space="preserve">C8 Trusted HR assistant (Jarvis, MTBH-governed); C9 Co-employment tenant isolation; C5 Faster, auditable compliance response</t>
  </si>
  <si>
    <t xml:space="preserve">Seven-stage traversal: 5D Requirement Context Bundle, PEP evaluation, STPA unsafe-control-action checks, compiled directives, and human sign-off on every irreversible action.</t>
  </si>
  <si>
    <t xml:space="preserve">RCB assembler; PEP engine; MTBH 5D scoring; Simplex gate; sanitization queue</t>
  </si>
  <si>
    <t xml:space="preserve">Trip rate ≤2%; 100% irreversible actions human-gated</t>
  </si>
  <si>
    <t xml:space="preserve">ISP-08, ISP-04</t>
  </si>
  <si>
    <t xml:space="preserve">GOV-011, GOV-012, GOV-013, GOV-014, GOV-015, GOV-016, GOV-021, PAY-028, PAY-029</t>
  </si>
  <si>
    <t xml:space="preserve">NIST AI RMF; ISO/IEC 42001; STPA/STAMP</t>
  </si>
  <si>
    <t xml:space="preserve">ISP-11</t>
  </si>
  <si>
    <t xml:space="preserve">Multi-Tenant Isolation &amp; PHI Policy Enforcement Points</t>
  </si>
  <si>
    <t xml:space="preserve">L2 · HR Technology</t>
  </si>
  <si>
    <t xml:space="preserve">Security Architect</t>
  </si>
  <si>
    <t xml:space="preserve">C9 Co-employment tenant isolation</t>
  </si>
  <si>
    <t xml:space="preserve">Tenant boundaries enforced at every data layer and compiled OPA rules for PHI access (role + tenant + MFA), so no client's data ever resolves in another's answer.</t>
  </si>
  <si>
    <t xml:space="preserve">Isolation model; compiled RBAC/ABAC policies; immutable audit log</t>
  </si>
  <si>
    <t xml:space="preserve">MTBH_WHERE ≥99.5%; 0 cross-tenant incidents</t>
  </si>
  <si>
    <t xml:space="preserve">ISP-04, ISP-08</t>
  </si>
  <si>
    <t xml:space="preserve">TEC-001, TEC-004, TEC-005, TEC-007, TEC-008, TEC-013, TEC-021, BEN-016</t>
  </si>
  <si>
    <t xml:space="preserve">HIPAA Security Rule; SOC 2; CCPA/CPRA</t>
  </si>
  <si>
    <t xml:space="preserve">ISP-12</t>
  </si>
  <si>
    <t xml:space="preserve">Employee Jarvis &amp; Machine APIs (pilot, 3–5 clients)</t>
  </si>
  <si>
    <t xml:space="preserve">Knowledge services</t>
  </si>
  <si>
    <t xml:space="preserve">Product &amp; AI Science</t>
  </si>
  <si>
    <t xml:space="preserve">C8 Trusted HR assistant (Jarvis, MTBH-governed); C2 Personal-model-driven compliance</t>
  </si>
  <si>
    <t xml:space="preserve">Self-service answers on PTO, eligibility, open enrollment and pay stubs — every answer trust-scored and traced to the plan clause or statute behind it.</t>
  </si>
  <si>
    <t xml:space="preserve">Conversational UI; REST/GraphQL + MCP APIs; provenance display; MTBH dashboard</t>
  </si>
  <si>
    <t xml:space="preserve">Self-service deflection ≥40%; P95 ≤3s</t>
  </si>
  <si>
    <t xml:space="preserve">ISP-06, ISP-07, ISP-10</t>
  </si>
  <si>
    <t xml:space="preserve">GOV-014, GOV-021, GOV-022, BEN-021, BEN-022</t>
  </si>
  <si>
    <t xml:space="preserve">NIST AI RMF; ERISA disclosure rules; State privacy acts</t>
  </si>
  <si>
    <t xml:space="preserve">ISP-13</t>
  </si>
  <si>
    <t xml:space="preserve">Compliance &amp; Risk Domain Holon (isp-comp, 50-state library)</t>
  </si>
  <si>
    <t xml:space="preserve">Phase 2 · Expansion</t>
  </si>
  <si>
    <t xml:space="preserve">Months 7–12</t>
  </si>
  <si>
    <t xml:space="preserve">L2 · Compliance &amp; Risk</t>
  </si>
  <si>
    <t xml:space="preserve">Domain Team — Compliance</t>
  </si>
  <si>
    <t xml:space="preserve">The full 50-state norm library — recordkeeping, workplace violence, accommodations, leave coordination — compiled to checks that can block a run or flag exposure.</t>
  </si>
  <si>
    <t xml:space="preserve">isp-comp ontology; 50-state LKIF norms; OSHA ITA submission rules; accommodation workflows</t>
  </si>
  <si>
    <t xml:space="preserve">Audit-evidence time −55%; 0 missed statutory deadlines</t>
  </si>
  <si>
    <t xml:space="preserve">ISP-08, ISP-09</t>
  </si>
  <si>
    <t xml:space="preserve">CMP-001, CMP-002, CMP-003, CMP-004, CMP-006, CMP-007, CMP-010, CMP-011, CMP-012, CMP-013, CMP-016, CMP-017, CMP-019, CMP-021, CMP-008, CMP-009, CMP-014, CMP-015, CMP-020, CMP-022</t>
  </si>
  <si>
    <t xml:space="preserve">OSHA &amp; state plans; CA SB 553; ADA / PWFA / PUMP; State PSL ordinances; Workers' comp / NCCI</t>
  </si>
  <si>
    <t xml:space="preserve">ISP-14</t>
  </si>
  <si>
    <t xml:space="preserve">Talent Domain Holon (isp-tal) &amp; AEDT Governance</t>
  </si>
  <si>
    <t xml:space="preserve">L2 · Talent Management</t>
  </si>
  <si>
    <t xml:space="preserve">Domain Team — Talent</t>
  </si>
  <si>
    <t xml:space="preserve">C1 Single source of truth for policy; C4 Continuous values measurement; C5 Faster, auditable compliance response</t>
  </si>
  <si>
    <t xml:space="preserve">AEDT bias audits and candidate notices, salary-range disclosure on every posting, FCRA adverse-action sequencing and EEO-1 / state pay-data reporting.</t>
  </si>
  <si>
    <t xml:space="preserve">isp-tal ontology; AEDT audit workflow; posting gate; pay-data aggregation</t>
  </si>
  <si>
    <t xml:space="preserve">100% covered postings with compliant range; AEDT audits current</t>
  </si>
  <si>
    <t xml:space="preserve">TAL-001, TAL-002, TAL-003, TAL-004, TAL-005, TAL-006, TAL-007, TAL-010, TAL-011, TAL-014, TAL-015, TAL-016, TAL-008</t>
  </si>
  <si>
    <t xml:space="preserve">Title VII / ADEA / GINA; NYC LL 144 / Colorado AI Act; Pay transparency laws; FCRA; Form I-9 / E-Verify</t>
  </si>
  <si>
    <t xml:space="preserve">ISP-15</t>
  </si>
  <si>
    <t xml:space="preserve">HR Technology Holon — Identity Backbone &amp; Attestation Controls</t>
  </si>
  <si>
    <t xml:space="preserve">Domain Team — Platform</t>
  </si>
  <si>
    <t xml:space="preserve">Full SAML federation of vendor identifiers, masking/tokenization, consent tracking, retention schedules and continuous SOC control evidence.</t>
  </si>
  <si>
    <t xml:space="preserve">isp-tech ontology; identity federation; control-evidence feeds; retention engine</t>
  </si>
  <si>
    <t xml:space="preserve">SOC evidence assembled continuously; access reviews on schedule</t>
  </si>
  <si>
    <t xml:space="preserve">ISP-04, ISP-11</t>
  </si>
  <si>
    <t xml:space="preserve">TEC-002, TEC-003, TEC-006, TEC-009, TEC-010, TEC-011, TEC-012, TEC-014, TEC-016, TEC-017, TEC-018, TEC-019, TEC-020, TEC-015</t>
  </si>
  <si>
    <t xml:space="preserve">SOC 1 / SOC 2; NIST 800-53; CCPA/CPRA</t>
  </si>
  <si>
    <t xml:space="preserve">ISP-16</t>
  </si>
  <si>
    <t xml:space="preserve">Client Relationship Holon &amp; Client Allocation Matrix</t>
  </si>
  <si>
    <t xml:space="preserve">L2 · Client Relationship</t>
  </si>
  <si>
    <t xml:space="preserve">Domain Team — Client Success</t>
  </si>
  <si>
    <t xml:space="preserve">Medium</t>
  </si>
  <si>
    <t xml:space="preserve">Discover</t>
  </si>
  <si>
    <t xml:space="preserve">C1 Single source of truth for policy; C6 Analytics you can trust</t>
  </si>
  <si>
    <t xml:space="preserve">Models the statutory division of responsibility between Insperity and each client, plus client health scoring and escalation routing.</t>
  </si>
  <si>
    <t xml:space="preserve">Allocation Matrix as governed graph; client health model; renewal signals</t>
  </si>
  <si>
    <t xml:space="preserve">Every client obligation owned (PEO vs client); at-risk clients flagged ≥60 days out</t>
  </si>
  <si>
    <t xml:space="preserve">ISP-02, ISP-04</t>
  </si>
  <si>
    <t xml:space="preserve">PEO-006, PEO-007, TEC-001</t>
  </si>
  <si>
    <t xml:space="preserve">State PEO licensing / Model PEO Act; MSA contract terms</t>
  </si>
  <si>
    <t xml:space="preserve">ISP-17</t>
  </si>
  <si>
    <t xml:space="preserve">Employer/HRBP &amp; Service Rep Jarvis</t>
  </si>
  <si>
    <t xml:space="preserve">C8 Trusted HR assistant (Jarvis, MTBH-governed); C5 Faster, auditable compliance response; C6 Analytics you can trust</t>
  </si>
  <si>
    <t xml:space="preserve">Compliance flags, EPLI risk radar and case triage for employers and advisors, grounded only in that client's own MSA and plan documents.</t>
  </si>
  <si>
    <t xml:space="preserve">Two role-adapted interfaces; audit-ready evidence packs; case assist</t>
  </si>
  <si>
    <t xml:space="preserve">EEOC response prep time −65%; evidence completeness ≥99%</t>
  </si>
  <si>
    <t xml:space="preserve">ISP-12, ISP-13, ISP-16</t>
  </si>
  <si>
    <t xml:space="preserve">GOV-014, GOV-015, GOV-021, PEO-006</t>
  </si>
  <si>
    <t xml:space="preserve">NIST AI RMF; EEOC; EPLI terms</t>
  </si>
  <si>
    <t xml:space="preserve">ISP-18</t>
  </si>
  <si>
    <t xml:space="preserve">Governed Personal Models (employee &amp; role profiles)</t>
  </si>
  <si>
    <t xml:space="preserve">L2 · Talent / isp-core</t>
  </si>
  <si>
    <t xml:space="preserve">C2 Personal-model-driven compliance; C4 Continuous values measurement; C9 Co-employment tenant isolation</t>
  </si>
  <si>
    <t xml:space="preserve">A governed semantic profile per employee and role — competencies, training and compliance state — queryable and privacy-bounded, with no covert surveillance.</t>
  </si>
  <si>
    <t xml:space="preserve">Personal-model ontology; consent + minimization rules; compliance-state queries</t>
  </si>
  <si>
    <t xml:space="preserve">Compliance state queryable for 100% of pilot employees</t>
  </si>
  <si>
    <t xml:space="preserve">TEC-005, TEC-010, TEC-011, TAL-017, TEC-006</t>
  </si>
  <si>
    <t xml:space="preserve">CCPA/CPRA; HIPAA; EEOC</t>
  </si>
  <si>
    <t xml:space="preserve">ISP-19</t>
  </si>
  <si>
    <t xml:space="preserve">On-Demand Compliance Training Engine</t>
  </si>
  <si>
    <t xml:space="preserve">L2 · Talent / Compliance</t>
  </si>
  <si>
    <t xml:space="preserve">C3 On-demand compliance training; C5 Faster, auditable compliance response; C2 Personal-model-driven compliance</t>
  </si>
  <si>
    <t xml:space="preserve">Training assigned automatically when a rule changes or a role changes, against the SSOT rule library — not batched to an annual cycle — with a full audit trail.</t>
  </si>
  <si>
    <t xml:space="preserve">Rule-change triggers; LMS integration; completion evidence per rule URI</t>
  </si>
  <si>
    <t xml:space="preserve">Training lag after rule change ≤14 days; 100% completion traceable</t>
  </si>
  <si>
    <t xml:space="preserve">ISP-18, ISP-08</t>
  </si>
  <si>
    <t xml:space="preserve">TAL-012, TAL-013, TAL-017, CMP-005</t>
  </si>
  <si>
    <t xml:space="preserve">CA SB 1343; NY harassment training; CA SB 553</t>
  </si>
  <si>
    <t xml:space="preserve">ISP-20</t>
  </si>
  <si>
    <t xml:space="preserve">Compliance SSOT Dashboard &amp; Governed Analytics Publishing</t>
  </si>
  <si>
    <t xml:space="preserve">Analytics Lead</t>
  </si>
  <si>
    <t xml:space="preserve">C6 Analytics you can trust; C1 Single source of truth for policy</t>
  </si>
  <si>
    <t xml:space="preserve">Rules, constraints and definitions compiled once and published into dbt/LookML so every insights dashboard draws on the same governed definitions.</t>
  </si>
  <si>
    <t xml:space="preserve">Semantic-layer publishing; SSOT dashboard in production; metric provenance</t>
  </si>
  <si>
    <t xml:space="preserve">100% governed dashboards on shared definitions</t>
  </si>
  <si>
    <t xml:space="preserve">GOV-006, GOV-023, GOV-022</t>
  </si>
  <si>
    <t xml:space="preserve">SOC 1; DAMA-DMBOK</t>
  </si>
  <si>
    <t xml:space="preserve">ISP-21</t>
  </si>
  <si>
    <t xml:space="preserve">MTBH Ops Workbench</t>
  </si>
  <si>
    <t xml:space="preserve">Governance plane</t>
  </si>
  <si>
    <t xml:space="preserve">AI Reliability Lead</t>
  </si>
  <si>
    <t xml:space="preserve">C8 Trusted HR assistant (Jarvis, MTBH-governed); C5 Faster, auditable compliance response</t>
  </si>
  <si>
    <t xml:space="preserve">Observability across all six domain holons — 5D trust scores, Value-Drift Coefficient, intent-delta detection and targeted remediation.</t>
  </si>
  <si>
    <t xml:space="preserve">Workbench UI; per-domain MTBH; drift alerts; remediation runbooks</t>
  </si>
  <si>
    <t xml:space="preserve">MTBH aggregate ≥96% every dimension</t>
  </si>
  <si>
    <t xml:space="preserve">GOV-014, GOV-011</t>
  </si>
  <si>
    <t xml:space="preserve">NIST AI RMF; ISO/IEC 42001</t>
  </si>
  <si>
    <t xml:space="preserve">ISP-22</t>
  </si>
  <si>
    <t xml:space="preserve">Enterprise Semantic Governance Council &amp; Compliance-as-Code</t>
  </si>
  <si>
    <t xml:space="preserve">Phase 3 · Enterprise Holarchy</t>
  </si>
  <si>
    <t xml:space="preserve">Months 13–18</t>
  </si>
  <si>
    <t xml:space="preserve">Chief Governance Officer</t>
  </si>
  <si>
    <t xml:space="preserve">C7 Governance that scales; C1 Single source of truth for policy</t>
  </si>
  <si>
    <t xml:space="preserve">Formal cross-domain conflict resolution and LKIF norms fully integrated as compliance-as-code across every state Insperity operates in.</t>
  </si>
  <si>
    <t xml:space="preserve">Council operating model; conflict protocol; compliance-as-code release train</t>
  </si>
  <si>
    <t xml:space="preserve">Cross-domain conflicts resolved within SLA</t>
  </si>
  <si>
    <t xml:space="preserve">ISP-05, ISP-13</t>
  </si>
  <si>
    <t xml:space="preserve">GOV-002, GOV-003, GOV-008, GOV-009</t>
  </si>
  <si>
    <t xml:space="preserve">ISO/IEC 42001; SOC 1 / SOC 2</t>
  </si>
  <si>
    <t xml:space="preserve">ISP-23</t>
  </si>
  <si>
    <t xml:space="preserve">Continuous Values Measurement &amp; Calibration</t>
  </si>
  <si>
    <t xml:space="preserve">L2 · Talent</t>
  </si>
  <si>
    <t xml:space="preserve">People Science Lead</t>
  </si>
  <si>
    <t xml:space="preserve">C4 Continuous values measurement; C2 Personal-model-driven compliance</t>
  </si>
  <si>
    <t xml:space="preserve">Values training encoded as a versioned rule set, then measured and calibrated continuously as a trust signal — with privacy safeguards and no content-level surveillance.</t>
  </si>
  <si>
    <t xml:space="preserve">Values rule set; measurement model; calibration reports; privacy safeguards</t>
  </si>
  <si>
    <t xml:space="preserve">eNPS ≥52; values calibration reviewed quarterly</t>
  </si>
  <si>
    <t xml:space="preserve">ISP-18, ISP-19</t>
  </si>
  <si>
    <t xml:space="preserve">TAL-009, TAL-017, TEC-010, TEC-011</t>
  </si>
  <si>
    <t xml:space="preserve">EEOC; CCPA/CPRA; NIST AI RMF</t>
  </si>
  <si>
    <t xml:space="preserve">ISP-24</t>
  </si>
  <si>
    <t xml:space="preserve">Self-Evolving Holarchy — Regulatory Change Discovery</t>
  </si>
  <si>
    <t xml:space="preserve">C5 Faster, auditable compliance response; C7 Governance that scales; C1 Single source of truth for policy</t>
  </si>
  <si>
    <t xml:space="preserve">RAG discovery flags newly enacted statutes; domain governance teams validate and admit them via KGCL, updating one domain without touching the others.</t>
  </si>
  <si>
    <t xml:space="preserve">Regulatory watch agents; admission workflow; client notification lead time</t>
  </si>
  <si>
    <t xml:space="preserve">Time to admit new norm −70%; client notice lead time ×3</t>
  </si>
  <si>
    <t xml:space="preserve">ISP-13, ISP-22</t>
  </si>
  <si>
    <t xml:space="preserve">GOV-010, GOV-018, CMP-018, CMP-019</t>
  </si>
  <si>
    <t xml:space="preserve">State PFML / PSL; State wage &amp; hour codes</t>
  </si>
  <si>
    <t xml:space="preserve">ISP-25</t>
  </si>
  <si>
    <t xml:space="preserve">Executive Jarvis &amp; Workforce Benchmarking Data Product</t>
  </si>
  <si>
    <t xml:space="preserve">C6 Analytics you can trust; C8 Trusted HR assistant (Jarvis, MTBH-governed)</t>
  </si>
  <si>
    <t xml:space="preserve">Macro workforce trends and regional compensation benchmarking built from de-identified, aggregated data — the first data-marketplace candidate.</t>
  </si>
  <si>
    <t xml:space="preserve">Executive dashboard; aggregation + k-anonymity rules; data product</t>
  </si>
  <si>
    <t xml:space="preserve">Data product live; 0 re-identification findings</t>
  </si>
  <si>
    <t xml:space="preserve">ISP-14, ISP-15, ISP-20</t>
  </si>
  <si>
    <t xml:space="preserve">TEC-011, TEC-012, TAL-016</t>
  </si>
  <si>
    <t xml:space="preserve">CCPA/CPRA; Antitrust wage-data guidance</t>
  </si>
  <si>
    <t xml:space="preserve">ISP-26</t>
  </si>
  <si>
    <t xml:space="preserve">Contractor &amp; Gig Worker Holon (classification governance)</t>
  </si>
  <si>
    <t xml:space="preserve">L2 · New Ventures</t>
  </si>
  <si>
    <t xml:space="preserve">Domain Team — New Ventures</t>
  </si>
  <si>
    <t xml:space="preserve">Adds contractor management on the documented extension protocol — no core changes — with ABC-test and economic-reality logic guarding misclassification.</t>
  </si>
  <si>
    <t xml:space="preserve">Contractor ontology; classification rules; 1099 reporting</t>
  </si>
  <si>
    <t xml:space="preserve">0 misclassification findings in pilot</t>
  </si>
  <si>
    <t xml:space="preserve">ISP-06, ISP-09</t>
  </si>
  <si>
    <t xml:space="preserve">PAY-003, PAY-004, PAY-022</t>
  </si>
  <si>
    <t xml:space="preserve">DOL economic-reality test; State ABC tests</t>
  </si>
  <si>
    <t xml:space="preserve">ISP-27</t>
  </si>
  <si>
    <t xml:space="preserve">PEO Attestation Automation (CPEO · ESAC · SOC)</t>
  </si>
  <si>
    <t xml:space="preserve">Controller / Internal Audit</t>
  </si>
  <si>
    <t xml:space="preserve">C5 Faster, auditable compliance response; C6 Analytics you can trust</t>
  </si>
  <si>
    <t xml:space="preserve">Assembles CPEO quarterly attestations, ESAC monitoring and SOC evidence straight from rule-level provenance instead of manual evidence hunts.</t>
  </si>
  <si>
    <t xml:space="preserve">Attestation evidence packs; bond monitoring; auditor portal</t>
  </si>
  <si>
    <t xml:space="preserve">Audit-evidence prep time −60%</t>
  </si>
  <si>
    <t xml:space="preserve">ISP-08, ISP-15</t>
  </si>
  <si>
    <t xml:space="preserve">PEO-001, PEO-002, PEO-003, PEO-004, PEO-005, PAY-023, PAY-024, TEC-016</t>
  </si>
  <si>
    <t xml:space="preserve">IRC §7705 (CPEO); ESAC; SOC 1 / SOC 2</t>
  </si>
  <si>
    <t xml:space="preserve">ISP-28</t>
  </si>
  <si>
    <t xml:space="preserve">50-State Digital Orchestration Rollout</t>
  </si>
  <si>
    <t xml:space="preserve">Program Office</t>
  </si>
  <si>
    <t xml:space="preserve">C7 Governance that scales; C8 Trusted HR assistant (Jarvis, MTBH-governed)</t>
  </si>
  <si>
    <t xml:space="preserve">Full rollout across the expanded client base with carriers, 401(k), ATS and LMS federated through the identity registry.</t>
  </si>
  <si>
    <t xml:space="preserve">State-by-state activation plan; ecosystem federation; hypercare</t>
  </si>
  <si>
    <t xml:space="preserve">50 states governed; full client base on the holarchy</t>
  </si>
  <si>
    <t xml:space="preserve">ISP-13, ISP-15, ISP-22</t>
  </si>
  <si>
    <t xml:space="preserve">PAY-013, PAY-014, CMP-017, PEO-007</t>
  </si>
  <si>
    <t xml:space="preserve">All state regimes</t>
  </si>
  <si>
    <t xml:space="preserve">Rule ID</t>
  </si>
  <si>
    <t xml:space="preserve">Domain</t>
  </si>
  <si>
    <t xml:space="preserve">Sub-category</t>
  </si>
  <si>
    <t xml:space="preserve">Rule</t>
  </si>
  <si>
    <t xml:space="preserve">Rule type</t>
  </si>
  <si>
    <t xml:space="preserve">Statute / standard</t>
  </si>
  <si>
    <t xml:space="preserve">Jurisdiction</t>
  </si>
  <si>
    <t xml:space="preserve">Lifecycle phase</t>
  </si>
  <si>
    <t xml:space="preserve">Owning holon</t>
  </si>
  <si>
    <t xml:space="preserve">GOV-004</t>
  </si>
  <si>
    <t xml:space="preserve">Governance &amp; Architecture</t>
  </si>
  <si>
    <t xml:space="preserve">Core Ontology</t>
  </si>
  <si>
    <t xml:space="preserve">Core Entity Model Definition</t>
  </si>
  <si>
    <t xml:space="preserve">Structural Invariant</t>
  </si>
  <si>
    <t xml:space="preserve">Root Core PEO Ontology (isp-core)</t>
  </si>
  <si>
    <t xml:space="preserve">N/A</t>
  </si>
  <si>
    <t xml:space="preserve">Design-Time</t>
  </si>
  <si>
    <t xml:space="preserve">Enterprise (L4) / isp-core</t>
  </si>
  <si>
    <t xml:space="preserve">GOV-005</t>
  </si>
  <si>
    <t xml:space="preserve">Ontology Federation</t>
  </si>
  <si>
    <t xml:space="preserve">Domain Ontology Federation via owl:imports</t>
  </si>
  <si>
    <t xml:space="preserve">Federated ontology standard</t>
  </si>
  <si>
    <t xml:space="preserve">L2 Domain Holons</t>
  </si>
  <si>
    <t xml:space="preserve">GOV-017</t>
  </si>
  <si>
    <t xml:space="preserve">Rule Representation</t>
  </si>
  <si>
    <t xml:space="preserve">LKIF Deontic Norm + SHACL Shape Dual Representation</t>
  </si>
  <si>
    <t xml:space="preserve">LKIF Core / W3C SHACL</t>
  </si>
  <si>
    <t xml:space="preserve">L2 Domain Holons (L1 Knowledge Holons)</t>
  </si>
  <si>
    <t xml:space="preserve">GOV-018</t>
  </si>
  <si>
    <t xml:space="preserve">Provenance</t>
  </si>
  <si>
    <t xml:space="preserve">Provenance &amp; Change Management - ORSD + KGCL Metadata</t>
  </si>
  <si>
    <t xml:space="preserve">Ontology Requirements Specification Document (ORSD) / Knowledge Graph Change Language (KGCL)</t>
  </si>
  <si>
    <t xml:space="preserve">Enterprise (L4) / L2 Domain Holons</t>
  </si>
  <si>
    <t xml:space="preserve">PAY-001</t>
  </si>
  <si>
    <t xml:space="preserve">Payroll &amp; Tax</t>
  </si>
  <si>
    <t xml:space="preserve">Wage &amp; Hour</t>
  </si>
  <si>
    <t xml:space="preserve">Federal FLSA Exemption Salary Threshold &amp; Duties Test</t>
  </si>
  <si>
    <t xml:space="preserve">Threshold</t>
  </si>
  <si>
    <t xml:space="preserve">FLSA (federal)</t>
  </si>
  <si>
    <t xml:space="preserve">Federal</t>
  </si>
  <si>
    <t xml:space="preserve">Run</t>
  </si>
  <si>
    <t xml:space="preserve">PAY-002</t>
  </si>
  <si>
    <t xml:space="preserve">State Exemption Salary Thresholds Override Federal</t>
  </si>
  <si>
    <t xml:space="preserve">Obligation</t>
  </si>
  <si>
    <t xml:space="preserve">State labor codes (e.g., CA, NY, WA)</t>
  </si>
  <si>
    <t xml:space="preserve">State (CA, NY, WA, others)</t>
  </si>
  <si>
    <t xml:space="preserve">Payroll &amp; Tax Domain Holon</t>
  </si>
  <si>
    <t xml:space="preserve">PAY-008</t>
  </si>
  <si>
    <t xml:space="preserve">Overtime</t>
  </si>
  <si>
    <t xml:space="preserve">Federal Weekly Overtime (FLSA 40-hour rule)</t>
  </si>
  <si>
    <t xml:space="preserve">BEN-005</t>
  </si>
  <si>
    <t xml:space="preserve">Benefits</t>
  </si>
  <si>
    <t xml:space="preserve">ERISA Fiduciary</t>
  </si>
  <si>
    <t xml:space="preserve">Master Plan Document / MEP-PEP Fiduciary Structure</t>
  </si>
  <si>
    <t xml:space="preserve">ERISA</t>
  </si>
  <si>
    <t xml:space="preserve">Benefits Domain Holon</t>
  </si>
  <si>
    <t xml:space="preserve">CMP-001</t>
  </si>
  <si>
    <t xml:space="preserve">Compliance &amp; Risk</t>
  </si>
  <si>
    <t xml:space="preserve">OSHA Recordkeeping</t>
  </si>
  <si>
    <t xml:space="preserve">OSHA Form 300/300A/301 Electronic Submission</t>
  </si>
  <si>
    <t xml:space="preserve">Reporting Deadline</t>
  </si>
  <si>
    <t xml:space="preserve">OSHA Injury Tracking Application (ITA)</t>
  </si>
  <si>
    <t xml:space="preserve">Federal (+ State Plans)</t>
  </si>
  <si>
    <t xml:space="preserve">Compliance &amp; Risk Domain Holon (isp-comp)</t>
  </si>
  <si>
    <t xml:space="preserve">TAL-001</t>
  </si>
  <si>
    <t xml:space="preserve">Talent Management</t>
  </si>
  <si>
    <t xml:space="preserve">Anti-Discrimination</t>
  </si>
  <si>
    <t xml:space="preserve">Title VII / ADEA / GINA Hiring Screen</t>
  </si>
  <si>
    <t xml:space="preserve">Prohibition</t>
  </si>
  <si>
    <t xml:space="preserve">Title VII, ADEA, GINA (federal)</t>
  </si>
  <si>
    <t xml:space="preserve">Talent Domain Holon (isp-tal)</t>
  </si>
  <si>
    <t xml:space="preserve">GOV-023</t>
  </si>
  <si>
    <t xml:space="preserve">SSOT Principle</t>
  </si>
  <si>
    <t xml:space="preserve">Single Source of Truth (SSOT) Propagation</t>
  </si>
  <si>
    <t xml:space="preserve">Internal architecture standard</t>
  </si>
  <si>
    <t xml:space="preserve">Design-Time to Run-Time</t>
  </si>
  <si>
    <t xml:space="preserve">Enterprise (L4) / Lateral Mediation Holon</t>
  </si>
  <si>
    <t xml:space="preserve">GOV-006</t>
  </si>
  <si>
    <t xml:space="preserve">Mediation Layer</t>
  </si>
  <si>
    <t xml:space="preserve">Persistent Mapping Graph - Correspondence &amp; Anti-Drift Lineage</t>
  </si>
  <si>
    <t xml:space="preserve">Lateral Mediation Holon (SAML)</t>
  </si>
  <si>
    <t xml:space="preserve">Lateral Mediation Holon</t>
  </si>
  <si>
    <t xml:space="preserve">GOV-010</t>
  </si>
  <si>
    <t xml:space="preserve">AI Grounding</t>
  </si>
  <si>
    <t xml:space="preserve">RAG Anchor Index - Vector Embedding Grounding</t>
  </si>
  <si>
    <t xml:space="preserve">GOV-007</t>
  </si>
  <si>
    <t xml:space="preserve">Identity Resolution</t>
  </si>
  <si>
    <t xml:space="preserve">Identity &amp; URI Resolution Registry</t>
  </si>
  <si>
    <t xml:space="preserve">Lateral Mediation Holon (SAML) / ISO 8000</t>
  </si>
  <si>
    <t xml:space="preserve">TEC-001</t>
  </si>
  <si>
    <t xml:space="preserve">HR Technology</t>
  </si>
  <si>
    <t xml:space="preserve">Multi-Tenancy</t>
  </si>
  <si>
    <t xml:space="preserve">Multi-Tenant Data Isolation Model</t>
  </si>
  <si>
    <t xml:space="preserve">Internal architecture standard / PEO Client Allocation Matrix</t>
  </si>
  <si>
    <t xml:space="preserve">Discover/Design</t>
  </si>
  <si>
    <t xml:space="preserve">HR Technology Domain Holon (isp-tech)</t>
  </si>
  <si>
    <t xml:space="preserve">GOV-002</t>
  </si>
  <si>
    <t xml:space="preserve">Enterprise Governance</t>
  </si>
  <si>
    <t xml:space="preserve">Enterprise Semantic Governance Council &amp; CoE Oversight</t>
  </si>
  <si>
    <t xml:space="preserve">Internal governance charter</t>
  </si>
  <si>
    <t xml:space="preserve">L4 Enterprise Hierarchy</t>
  </si>
  <si>
    <t xml:space="preserve">GOV-003</t>
  </si>
  <si>
    <t xml:space="preserve">Change Management</t>
  </si>
  <si>
    <t xml:space="preserve">DEV/STG/PRD Ontology Lifecycle Gate</t>
  </si>
  <si>
    <t xml:space="preserve">PAY-005</t>
  </si>
  <si>
    <t xml:space="preserve">California Daily Overtime - Tier 1</t>
  </si>
  <si>
    <t xml:space="preserve">California Labor Code Section 510</t>
  </si>
  <si>
    <t xml:space="preserve">US-CA</t>
  </si>
  <si>
    <t xml:space="preserve">Payroll &amp; Tax Domain Holon (isp-pay:CADailyOvertimeNorm)</t>
  </si>
  <si>
    <t xml:space="preserve">PAY-006</t>
  </si>
  <si>
    <t xml:space="preserve">California Daily Overtime - Tier 2 (Double-Time)</t>
  </si>
  <si>
    <t xml:space="preserve">PAY-007</t>
  </si>
  <si>
    <t xml:space="preserve">Alaska &amp; Nevada Daily/24-Hour Overtime Rules</t>
  </si>
  <si>
    <t xml:space="preserve">AK &amp; NV state labor codes (incl. NV 24-hr rule)</t>
  </si>
  <si>
    <t xml:space="preserve">US-AK, US-NV</t>
  </si>
  <si>
    <t xml:space="preserve">PAY-010</t>
  </si>
  <si>
    <t xml:space="preserve">Breaks</t>
  </si>
  <si>
    <t xml:space="preserve">Meal &amp; Rest Period Penalty Pay</t>
  </si>
  <si>
    <t xml:space="preserve">State meal/rest break statutes (e.g., CA)</t>
  </si>
  <si>
    <t xml:space="preserve">State (varies)</t>
  </si>
  <si>
    <t xml:space="preserve">PAY-011</t>
  </si>
  <si>
    <t xml:space="preserve">Multi-State Tax</t>
  </si>
  <si>
    <t xml:space="preserve">Multi-State Wage Base &amp; Reciprocal Tax Agreement Logic</t>
  </si>
  <si>
    <t xml:space="preserve">Business Logic</t>
  </si>
  <si>
    <t xml:space="preserve">State reciprocity agreements</t>
  </si>
  <si>
    <t xml:space="preserve">Multi-state</t>
  </si>
  <si>
    <t xml:space="preserve">PAY-012</t>
  </si>
  <si>
    <t xml:space="preserve">SUTA Experience Rating Transfer / Allocation</t>
  </si>
  <si>
    <t xml:space="preserve">State unemployment insurance statutes</t>
  </si>
  <si>
    <t xml:space="preserve">PAY-013</t>
  </si>
  <si>
    <t xml:space="preserve">State Income Tax (SIT) Withholding by Jurisdiction</t>
  </si>
  <si>
    <t xml:space="preserve">State tax codes</t>
  </si>
  <si>
    <t xml:space="preserve">PAY-014</t>
  </si>
  <si>
    <t xml:space="preserve">Local/Municipal Withholding Tax Ordinances</t>
  </si>
  <si>
    <t xml:space="preserve">Local tax ordinances</t>
  </si>
  <si>
    <t xml:space="preserve">Local/Municipal</t>
  </si>
  <si>
    <t xml:space="preserve">PAY-017</t>
  </si>
  <si>
    <t xml:space="preserve">Wage Calculation</t>
  </si>
  <si>
    <t xml:space="preserve">Court-Ordered Garnishment Priority Engine</t>
  </si>
  <si>
    <t xml:space="preserve">Federal/state garnishment statutes</t>
  </si>
  <si>
    <t xml:space="preserve">Federal/State</t>
  </si>
  <si>
    <t xml:space="preserve">PAY-018</t>
  </si>
  <si>
    <t xml:space="preserve">Pay Statements</t>
  </si>
  <si>
    <t xml:space="preserve">State Wage Theft Prevention Act - Paystub Itemization</t>
  </si>
  <si>
    <t xml:space="preserve">State wage theft prevention acts</t>
  </si>
  <si>
    <t xml:space="preserve">PAY-021</t>
  </si>
  <si>
    <t xml:space="preserve">Tax Filing</t>
  </si>
  <si>
    <t xml:space="preserve">Federal Form 941 Quarterly Filing</t>
  </si>
  <si>
    <t xml:space="preserve">IRS Form 941</t>
  </si>
  <si>
    <t xml:space="preserve">PAY-025</t>
  </si>
  <si>
    <t xml:space="preserve">Termination</t>
  </si>
  <si>
    <t xml:space="preserve">Final Pay Upon Separation - State Timing Rules</t>
  </si>
  <si>
    <t xml:space="preserve">State final-pay statutes</t>
  </si>
  <si>
    <t xml:space="preserve">PAY-026</t>
  </si>
  <si>
    <t xml:space="preserve">State/Local Minimum Wage Baseline</t>
  </si>
  <si>
    <t xml:space="preserve">Federal/state/local minimum wage laws</t>
  </si>
  <si>
    <t xml:space="preserve">Federal/State/Local</t>
  </si>
  <si>
    <t xml:space="preserve">Define/Run</t>
  </si>
  <si>
    <t xml:space="preserve">PAY-027</t>
  </si>
  <si>
    <t xml:space="preserve">Tax Calculation</t>
  </si>
  <si>
    <t xml:space="preserve">SUTA/FUTA Annual Wage Base Ceiling</t>
  </si>
  <si>
    <t xml:space="preserve">IRS/State unemployment tax rules</t>
  </si>
  <si>
    <t xml:space="preserve">CMP-018</t>
  </si>
  <si>
    <t xml:space="preserve">Statutory Leave</t>
  </si>
  <si>
    <t xml:space="preserve">State PFML Withholding, Reporting &amp; Claims Administration</t>
  </si>
  <si>
    <t xml:space="preserve">State PFML statutes (MA, WA, NY, NJ, CA, CO, OR, MN, ME, DE, etc.)</t>
  </si>
  <si>
    <t xml:space="preserve">State (active PFML states)</t>
  </si>
  <si>
    <t xml:space="preserve">Compliance &amp; Risk Domain Holon</t>
  </si>
  <si>
    <t xml:space="preserve">PAY-009</t>
  </si>
  <si>
    <t xml:space="preserve">Scheduling</t>
  </si>
  <si>
    <t xml:space="preserve">Predictive Scheduling / Fair Workweek Laws</t>
  </si>
  <si>
    <t xml:space="preserve">State/municipal predictive scheduling ordinances</t>
  </si>
  <si>
    <t xml:space="preserve">State/Local (varies)</t>
  </si>
  <si>
    <t xml:space="preserve">Design/Develop</t>
  </si>
  <si>
    <t xml:space="preserve">PAY-015</t>
  </si>
  <si>
    <t xml:space="preserve">Local Business Registration Nexus Trigger</t>
  </si>
  <si>
    <t xml:space="preserve">State/local business registration requirements</t>
  </si>
  <si>
    <t xml:space="preserve">PAY-016</t>
  </si>
  <si>
    <t xml:space="preserve">Tip Credit Accounting</t>
  </si>
  <si>
    <t xml:space="preserve">FLSA &amp; state tipped-wage rules</t>
  </si>
  <si>
    <t xml:space="preserve">PAY-019</t>
  </si>
  <si>
    <t xml:space="preserve">Direct Deposit Mandate Compliance</t>
  </si>
  <si>
    <t xml:space="preserve">State direct deposit statutes</t>
  </si>
  <si>
    <t xml:space="preserve">PAY-020</t>
  </si>
  <si>
    <t xml:space="preserve">Wage Notice Distribution</t>
  </si>
  <si>
    <t xml:space="preserve">State wage notice statutes</t>
  </si>
  <si>
    <t xml:space="preserve">BEN-001</t>
  </si>
  <si>
    <t xml:space="preserve">ACA</t>
  </si>
  <si>
    <t xml:space="preserve">Applicable Large Employer (ALE) Determination</t>
  </si>
  <si>
    <t xml:space="preserve">ACA employer mandate</t>
  </si>
  <si>
    <t xml:space="preserve">Benefits Domain Holon (isp-ben)</t>
  </si>
  <si>
    <t xml:space="preserve">BEN-002</t>
  </si>
  <si>
    <t xml:space="preserve">Look-Back Measurement Method for Variable-Hour Employees</t>
  </si>
  <si>
    <t xml:space="preserve">BEN-003</t>
  </si>
  <si>
    <t xml:space="preserve">Affordability Safe Harbor Calculation</t>
  </si>
  <si>
    <t xml:space="preserve">ACA affordability safe harbor rules</t>
  </si>
  <si>
    <t xml:space="preserve">BEN-004</t>
  </si>
  <si>
    <t xml:space="preserve">Annual IRS Form 1094-C/1095-C Generation</t>
  </si>
  <si>
    <t xml:space="preserve">ACA employer mandate reporting</t>
  </si>
  <si>
    <t xml:space="preserve">BEN-006</t>
  </si>
  <si>
    <t xml:space="preserve">Form 5500 Annual Filing</t>
  </si>
  <si>
    <t xml:space="preserve">BEN-008</t>
  </si>
  <si>
    <t xml:space="preserve">Annual Non-Discrimination Testing (NDT)</t>
  </si>
  <si>
    <t xml:space="preserve">IRC Section 105/125</t>
  </si>
  <si>
    <t xml:space="preserve">BEN-009</t>
  </si>
  <si>
    <t xml:space="preserve">SECURE 2.0</t>
  </si>
  <si>
    <t xml:space="preserve">Mandatory Automatic Enrollment/Escalation</t>
  </si>
  <si>
    <t xml:space="preserve">SECURE 2.0 Act</t>
  </si>
  <si>
    <t xml:space="preserve">BEN-010</t>
  </si>
  <si>
    <t xml:space="preserve">Long-Term Part-Time (LTPT) Employee Eligibility Tracking</t>
  </si>
  <si>
    <t xml:space="preserve">BEN-012</t>
  </si>
  <si>
    <t xml:space="preserve">CAA/Transparency</t>
  </si>
  <si>
    <t xml:space="preserve">Machine-Readable File (MRF) Disclosure</t>
  </si>
  <si>
    <t xml:space="preserve">Consolidated Appropriations Act / Transparency in Coverage</t>
  </si>
  <si>
    <t xml:space="preserve">BEN-014</t>
  </si>
  <si>
    <t xml:space="preserve">MHPAEA Comparative Analysis</t>
  </si>
  <si>
    <t xml:space="preserve">Mental Health Parity and Addiction Equity Act</t>
  </si>
  <si>
    <t xml:space="preserve">BEN-015</t>
  </si>
  <si>
    <t xml:space="preserve">COBRA</t>
  </si>
  <si>
    <t xml:space="preserve">Qualifying Event Notification &amp; Premium Billing</t>
  </si>
  <si>
    <t xml:space="preserve">Deliver/Run</t>
  </si>
  <si>
    <t xml:space="preserve">BEN-016</t>
  </si>
  <si>
    <t xml:space="preserve">Data Privacy</t>
  </si>
  <si>
    <t xml:space="preserve">HIPAA Privacy/Security Rules for Self-Funded Plans</t>
  </si>
  <si>
    <t xml:space="preserve">HIPAA</t>
  </si>
  <si>
    <t xml:space="preserve">Benefits Domain Holon; HR Technology Domain Holon</t>
  </si>
  <si>
    <t xml:space="preserve">BEN-019</t>
  </si>
  <si>
    <t xml:space="preserve">Integration</t>
  </si>
  <si>
    <t xml:space="preserve">Carrier EDI 834 Enrollment Feed Integration</t>
  </si>
  <si>
    <t xml:space="preserve">HIPAA 834 EDI standard</t>
  </si>
  <si>
    <t xml:space="preserve">Federal (technical standard)</t>
  </si>
  <si>
    <t xml:space="preserve">BEN-022</t>
  </si>
  <si>
    <t xml:space="preserve">Enrollment</t>
  </si>
  <si>
    <t xml:space="preserve">Qualifying Life Event (QLE) Processing</t>
  </si>
  <si>
    <t xml:space="preserve">IRC Section 125 / plan documents</t>
  </si>
  <si>
    <t xml:space="preserve">BEN-007</t>
  </si>
  <si>
    <t xml:space="preserve">SPD &amp; SMM Disclosure</t>
  </si>
  <si>
    <t xml:space="preserve">ERISA / DOL electronic disclosure rules</t>
  </si>
  <si>
    <t xml:space="preserve">BEN-011</t>
  </si>
  <si>
    <t xml:space="preserve">Emergency Savings Account Integration</t>
  </si>
  <si>
    <t xml:space="preserve">Permission</t>
  </si>
  <si>
    <t xml:space="preserve">BEN-013</t>
  </si>
  <si>
    <t xml:space="preserve">Pharmacy Benefit Reporting (RxDC)</t>
  </si>
  <si>
    <t xml:space="preserve">Consolidated Appropriations Act</t>
  </si>
  <si>
    <t xml:space="preserve">BEN-017</t>
  </si>
  <si>
    <t xml:space="preserve">Section 125</t>
  </si>
  <si>
    <t xml:space="preserve">Cafeteria Plan Pretax Elections</t>
  </si>
  <si>
    <t xml:space="preserve">IRC Section 125</t>
  </si>
  <si>
    <t xml:space="preserve">BEN-018</t>
  </si>
  <si>
    <t xml:space="preserve">FSA/HSA Contribution Limit Validation</t>
  </si>
  <si>
    <t xml:space="preserve">IRC annual FSA/HSA limits</t>
  </si>
  <si>
    <t xml:space="preserve">BEN-020</t>
  </si>
  <si>
    <t xml:space="preserve">Disclosure</t>
  </si>
  <si>
    <t xml:space="preserve">Summary of Benefits and Coverage (SBC) Distribution</t>
  </si>
  <si>
    <t xml:space="preserve">ACA / DOL disclosure rules</t>
  </si>
  <si>
    <t xml:space="preserve">GOV-001</t>
  </si>
  <si>
    <t xml:space="preserve">Core Architecture Principle</t>
  </si>
  <si>
    <t xml:space="preserve">Definition-Time vs Run-Time Separation</t>
  </si>
  <si>
    <t xml:space="preserve">Internal Holonic Semantic Governance Architecture standard</t>
  </si>
  <si>
    <t xml:space="preserve">N/A - system-wide</t>
  </si>
  <si>
    <t xml:space="preserve">Design-Time/Run-Time</t>
  </si>
  <si>
    <t xml:space="preserve">Enterprise (L4)</t>
  </si>
  <si>
    <t xml:space="preserve">GOV-019</t>
  </si>
  <si>
    <t xml:space="preserve">Compilation Pipeline</t>
  </si>
  <si>
    <t xml:space="preserve">6-Stage SHACL-to-Policy Compilation Pipeline</t>
  </si>
  <si>
    <t xml:space="preserve">Internal Rule Projection Agent tooling</t>
  </si>
  <si>
    <t xml:space="preserve">Lateral Mediation Holon (Rule Projection Agents)</t>
  </si>
  <si>
    <t xml:space="preserve">GOV-020</t>
  </si>
  <si>
    <t xml:space="preserve">Dual Runtime Target Compilation</t>
  </si>
  <si>
    <t xml:space="preserve">Run-Time</t>
  </si>
  <si>
    <t xml:space="preserve">L3 Gateway Holon / L2 Domain Holons</t>
  </si>
  <si>
    <t xml:space="preserve">GOV-022</t>
  </si>
  <si>
    <t xml:space="preserve">Audit Traceability</t>
  </si>
  <si>
    <t xml:space="preserve">Complete Audit Traceability via Immutable URI</t>
  </si>
  <si>
    <t xml:space="preserve">L2 Domain Holons / HR Technology Domain Holon</t>
  </si>
  <si>
    <t xml:space="preserve">GOV-024</t>
  </si>
  <si>
    <t xml:space="preserve">Performance Principle</t>
  </si>
  <si>
    <t xml:space="preserve">Zero Graph Latency Runtime Principle</t>
  </si>
  <si>
    <t xml:space="preserve">TEC-021</t>
  </si>
  <si>
    <t xml:space="preserve">Runtime Policy</t>
  </si>
  <si>
    <t xml:space="preserve">Compiled Runtime Access Policy - HIPAA PHI Read Rule</t>
  </si>
  <si>
    <t xml:space="preserve">Compiled from isp-tech:HIPAASecurityShape (HIPAA Security Rule)</t>
  </si>
  <si>
    <t xml:space="preserve">HR Technology Domain Holon (OPA/Rego PEP)</t>
  </si>
  <si>
    <t xml:space="preserve">GOV-008</t>
  </si>
  <si>
    <t xml:space="preserve">Conflict Resolution</t>
  </si>
  <si>
    <t xml:space="preserve">Rule Harmonization Engine - Cross-Jurisdiction Conflict Detection</t>
  </si>
  <si>
    <t xml:space="preserve">Lateral Mediation Holon (SAML) / internal SPARQL tooling</t>
  </si>
  <si>
    <t xml:space="preserve">N/A - applies across all jurisdictions</t>
  </si>
  <si>
    <t xml:space="preserve">GOV-009</t>
  </si>
  <si>
    <t xml:space="preserve">Most-Stringent-Rule / Highest-Employee-Protection Precedence Principle</t>
  </si>
  <si>
    <t xml:space="preserve">Internal statutory precedence doctrine</t>
  </si>
  <si>
    <t xml:space="preserve">PAY-004</t>
  </si>
  <si>
    <t xml:space="preserve">Worker Classification</t>
  </si>
  <si>
    <t xml:space="preserve">State 'ABC' Test for Contractor Status</t>
  </si>
  <si>
    <t xml:space="preserve">State statutes (e.g., CA AB5-style ABC tests)</t>
  </si>
  <si>
    <t xml:space="preserve">State</t>
  </si>
  <si>
    <t xml:space="preserve">GOV-011</t>
  </si>
  <si>
    <t xml:space="preserve">Request Processing</t>
  </si>
  <si>
    <t xml:space="preserve">Requirement Context Bundle (RCB) - 5D Request Decomposition</t>
  </si>
  <si>
    <t xml:space="preserve">RDSG Semantic Gateway Protocol</t>
  </si>
  <si>
    <t xml:space="preserve">L3 Gateway Holon (RDSG)</t>
  </si>
  <si>
    <t xml:space="preserve">GOV-012</t>
  </si>
  <si>
    <t xml:space="preserve">Enforcement</t>
  </si>
  <si>
    <t xml:space="preserve">Policy Enforcement Points (PEPs)</t>
  </si>
  <si>
    <t xml:space="preserve">GOV-013</t>
  </si>
  <si>
    <t xml:space="preserve">Safety Verification</t>
  </si>
  <si>
    <t xml:space="preserve">STPA/STAMP Unsafe Control Action (UCA) Verification</t>
  </si>
  <si>
    <t xml:space="preserve">STPA/STAMP safety methodology</t>
  </si>
  <si>
    <t xml:space="preserve">GOV-014</t>
  </si>
  <si>
    <t xml:space="preserve">AI Reliability</t>
  </si>
  <si>
    <t xml:space="preserve">Circuit Breaker &amp; MTBH Monitoring</t>
  </si>
  <si>
    <t xml:space="preserve">GOV-015</t>
  </si>
  <si>
    <t xml:space="preserve">Human Oversight</t>
  </si>
  <si>
    <t xml:space="preserve">Simplex Action Gate - Irreversible/Destructive Action Interception</t>
  </si>
  <si>
    <t xml:space="preserve">GOV-016</t>
  </si>
  <si>
    <t xml:space="preserve">Simplex Action Gate Threshold - Batch Tax Remittance Example</t>
  </si>
  <si>
    <t xml:space="preserve">RDSG Semantic Gateway Protocol (illustrative implementation)</t>
  </si>
  <si>
    <t xml:space="preserve">GOV-021</t>
  </si>
  <si>
    <t xml:space="preserve">AI Governance</t>
  </si>
  <si>
    <t xml:space="preserve">AI Agent Guardrails - Compiled JSON Schema Constraints</t>
  </si>
  <si>
    <t xml:space="preserve">PAY-028</t>
  </si>
  <si>
    <t xml:space="preserve">Runtime Control</t>
  </si>
  <si>
    <t xml:space="preserve">Simplex Action Gate - High-Value Batch Tax Remittance</t>
  </si>
  <si>
    <t xml:space="preserve">Internal governance control (STPA/STAMP-informed)</t>
  </si>
  <si>
    <t xml:space="preserve">N/A - system control</t>
  </si>
  <si>
    <t xml:space="preserve">PAY-029</t>
  </si>
  <si>
    <t xml:space="preserve">Unsafe Control Action (UCA) Verification on Gross-to-Net</t>
  </si>
  <si>
    <t xml:space="preserve">TEC-004</t>
  </si>
  <si>
    <t xml:space="preserve">HIPAA Security Rule Compliance</t>
  </si>
  <si>
    <t xml:space="preserve">HIPAA Security Rule</t>
  </si>
  <si>
    <t xml:space="preserve">HR Technology Domain Holon</t>
  </si>
  <si>
    <t xml:space="preserve">TEC-005</t>
  </si>
  <si>
    <t xml:space="preserve">Data Governance</t>
  </si>
  <si>
    <t xml:space="preserve">Data Classification Rules (PII / PHI / Financial)</t>
  </si>
  <si>
    <t xml:space="preserve">Internal data governance standard</t>
  </si>
  <si>
    <t xml:space="preserve">TEC-007</t>
  </si>
  <si>
    <t xml:space="preserve">Access Control</t>
  </si>
  <si>
    <t xml:space="preserve">Role-Based Access Control (RBAC) Governance Baseline</t>
  </si>
  <si>
    <t xml:space="preserve">Internal security architecture (RBAC/ABAC)</t>
  </si>
  <si>
    <t xml:space="preserve">TEC-008</t>
  </si>
  <si>
    <t xml:space="preserve">Audit</t>
  </si>
  <si>
    <t xml:space="preserve">Immutable Audit Log Structure</t>
  </si>
  <si>
    <t xml:space="preserve">Internal architecture standard / SOC 2 requirement</t>
  </si>
  <si>
    <t xml:space="preserve">TEC-013</t>
  </si>
  <si>
    <t xml:space="preserve">SSO/MFA Secure Endpoint Enforcement</t>
  </si>
  <si>
    <t xml:space="preserve">Internal security architecture</t>
  </si>
  <si>
    <t xml:space="preserve">BEN-021</t>
  </si>
  <si>
    <t xml:space="preserve">Open Enrollment Self-Service Workflow</t>
  </si>
  <si>
    <t xml:space="preserve">Internal plan administration</t>
  </si>
  <si>
    <t xml:space="preserve">CMP-002</t>
  </si>
  <si>
    <t xml:space="preserve">High-Hazard Industry / Covered Size Determination</t>
  </si>
  <si>
    <t xml:space="preserve">OSHA ITA coverage rules</t>
  </si>
  <si>
    <t xml:space="preserve">CMP-003</t>
  </si>
  <si>
    <t xml:space="preserve">Workplace Violence</t>
  </si>
  <si>
    <t xml:space="preserve">CA SB 553 Workplace Violence Prevention Plan</t>
  </si>
  <si>
    <t xml:space="preserve">California SB 553</t>
  </si>
  <si>
    <t xml:space="preserve">CMP-004</t>
  </si>
  <si>
    <t xml:space="preserve">Violent Incident Log Maintenance</t>
  </si>
  <si>
    <t xml:space="preserve">CMP-006</t>
  </si>
  <si>
    <t xml:space="preserve">Environmental Health</t>
  </si>
  <si>
    <t xml:space="preserve">State Heat Illness Prevention Procedures</t>
  </si>
  <si>
    <t xml:space="preserve">Cal/OSHA, Oregon OSHA, emerging federal OSHA heat rule</t>
  </si>
  <si>
    <t xml:space="preserve">US-CA, US-OR, Federal (pending)</t>
  </si>
  <si>
    <t xml:space="preserve">CMP-007</t>
  </si>
  <si>
    <t xml:space="preserve">Workers' Compensation</t>
  </si>
  <si>
    <t xml:space="preserve">Master-Policy Underwriting &amp; Multi-State Risk Pooling</t>
  </si>
  <si>
    <t xml:space="preserve">State workers' comp statutes</t>
  </si>
  <si>
    <t xml:space="preserve">CMP-010</t>
  </si>
  <si>
    <t xml:space="preserve">Workers' Comp Class Codes / NCCI Mapping</t>
  </si>
  <si>
    <t xml:space="preserve">National Council on Compensation Insurance (NCCI)</t>
  </si>
  <si>
    <t xml:space="preserve">CMP-011</t>
  </si>
  <si>
    <t xml:space="preserve">Accommodations</t>
  </si>
  <si>
    <t xml:space="preserve">ADA Interactive Accommodation Process</t>
  </si>
  <si>
    <t xml:space="preserve">Americans with Disabilities Act</t>
  </si>
  <si>
    <t xml:space="preserve">CMP-012</t>
  </si>
  <si>
    <t xml:space="preserve">Pregnant Workers Fairness Act (PWFA) Accommodation Workflow</t>
  </si>
  <si>
    <t xml:space="preserve">PWFA (federal)</t>
  </si>
  <si>
    <t xml:space="preserve">CMP-013</t>
  </si>
  <si>
    <t xml:space="preserve">PUMP Act Lactation Accommodation Policy</t>
  </si>
  <si>
    <t xml:space="preserve">PUMP for Nursing Mothers Act (federal)</t>
  </si>
  <si>
    <t xml:space="preserve">CMP-016</t>
  </si>
  <si>
    <t xml:space="preserve">Leave Coordination</t>
  </si>
  <si>
    <t xml:space="preserve">FMLA + State PFML Leave Coordination Logic</t>
  </si>
  <si>
    <t xml:space="preserve">FMLA (federal) + State PFML statutes</t>
  </si>
  <si>
    <t xml:space="preserve">CMP-017</t>
  </si>
  <si>
    <t xml:space="preserve">Postings</t>
  </si>
  <si>
    <t xml:space="preserve">Mandatory Labor Law E-Posting Compliance</t>
  </si>
  <si>
    <t xml:space="preserve">Federal/state/local posting requirements</t>
  </si>
  <si>
    <t xml:space="preserve">CMP-019</t>
  </si>
  <si>
    <t xml:space="preserve">Statutory Paid Sick Leave (PSL) Accrual/Carryover/Front-Loading</t>
  </si>
  <si>
    <t xml:space="preserve">Municipal/county PSL ordinances (dozens of disparate rules)</t>
  </si>
  <si>
    <t xml:space="preserve">Local/Municipal/County</t>
  </si>
  <si>
    <t xml:space="preserve">CMP-021</t>
  </si>
  <si>
    <t xml:space="preserve">Annual OSHA Log Certification &amp; Submission</t>
  </si>
  <si>
    <t xml:space="preserve">OSHA recordkeeping rule</t>
  </si>
  <si>
    <t xml:space="preserve">CMP-008</t>
  </si>
  <si>
    <t xml:space="preserve">Drug-Free Workplace Policy Administration</t>
  </si>
  <si>
    <t xml:space="preserve">State drug-free workplace premium credit statutes</t>
  </si>
  <si>
    <t xml:space="preserve">CMP-009</t>
  </si>
  <si>
    <t xml:space="preserve">Light-Duty / Return-to-Work Accommodation Tracking</t>
  </si>
  <si>
    <t xml:space="preserve">State workers' comp / ADA overlap</t>
  </si>
  <si>
    <t xml:space="preserve">CMP-014</t>
  </si>
  <si>
    <t xml:space="preserve">State Religious/Disability Interactive Process Variants</t>
  </si>
  <si>
    <t xml:space="preserve">State civil rights statutes</t>
  </si>
  <si>
    <t xml:space="preserve">CMP-015</t>
  </si>
  <si>
    <t xml:space="preserve">Claims</t>
  </si>
  <si>
    <t xml:space="preserve">Digital First Notice of Loss (FNOL) / Claims Intake</t>
  </si>
  <si>
    <t xml:space="preserve">Workers' comp claims administration</t>
  </si>
  <si>
    <t xml:space="preserve">CMP-020</t>
  </si>
  <si>
    <t xml:space="preserve">Statutory Bereavement Leave Tracking</t>
  </si>
  <si>
    <t xml:space="preserve">State/local bereavement leave statutes</t>
  </si>
  <si>
    <t xml:space="preserve">CMP-022</t>
  </si>
  <si>
    <t xml:space="preserve">Safety Audits</t>
  </si>
  <si>
    <t xml:space="preserve">Client Loss-Control Safety Audits</t>
  </si>
  <si>
    <t xml:space="preserve">Internal risk management / workers' comp carrier requirements</t>
  </si>
  <si>
    <t xml:space="preserve">TAL-002</t>
  </si>
  <si>
    <t xml:space="preserve">Selection Procedures</t>
  </si>
  <si>
    <t xml:space="preserve">EEOC Uniform Guidelines on Employee Selection Procedures</t>
  </si>
  <si>
    <t xml:space="preserve">EEOC Uniform Guidelines</t>
  </si>
  <si>
    <t xml:space="preserve">Talent Domain Holon</t>
  </si>
  <si>
    <t xml:space="preserve">TAL-003</t>
  </si>
  <si>
    <t xml:space="preserve">AI Hiring</t>
  </si>
  <si>
    <t xml:space="preserve">Automated Employment Decision Tool (AEDT) Bias Audit</t>
  </si>
  <si>
    <t xml:space="preserve">NYC Local Law 144; Colorado AI Act</t>
  </si>
  <si>
    <t xml:space="preserve">NYC; US-CO (+ emerging states)</t>
  </si>
  <si>
    <t xml:space="preserve">TAL-004</t>
  </si>
  <si>
    <t xml:space="preserve">AEDT Candidate Disclosure Notice</t>
  </si>
  <si>
    <t xml:space="preserve">NYC; US-CO</t>
  </si>
  <si>
    <t xml:space="preserve">TAL-005</t>
  </si>
  <si>
    <t xml:space="preserve">Pay Transparency</t>
  </si>
  <si>
    <t xml:space="preserve">State Salary Range Disclosure on Job Postings</t>
  </si>
  <si>
    <t xml:space="preserve">State pay transparency laws (CA, CO, NY, MA, IL, etc.)</t>
  </si>
  <si>
    <t xml:space="preserve">TAL-006</t>
  </si>
  <si>
    <t xml:space="preserve">Wage History Ban Enforcement</t>
  </si>
  <si>
    <t xml:space="preserve">State wage history ban statutes</t>
  </si>
  <si>
    <t xml:space="preserve">TAL-007</t>
  </si>
  <si>
    <t xml:space="preserve">Job Design</t>
  </si>
  <si>
    <t xml:space="preserve">Standardized Job Description with FLSA Duties Test</t>
  </si>
  <si>
    <t xml:space="preserve">FLSA exemption criteria</t>
  </si>
  <si>
    <t xml:space="preserve">TAL-010</t>
  </si>
  <si>
    <t xml:space="preserve">Background Checks</t>
  </si>
  <si>
    <t xml:space="preserve">FCRA-Compliant Background Check Consent Workflow</t>
  </si>
  <si>
    <t xml:space="preserve">Fair Credit Reporting Act (FCRA)</t>
  </si>
  <si>
    <t xml:space="preserve">TAL-011</t>
  </si>
  <si>
    <t xml:space="preserve">Pre-Adverse / Adverse Action Notice Sequencing</t>
  </si>
  <si>
    <t xml:space="preserve">FCRA</t>
  </si>
  <si>
    <t xml:space="preserve">TAL-014</t>
  </si>
  <si>
    <t xml:space="preserve">Employment Verification</t>
  </si>
  <si>
    <t xml:space="preserve">Form I-9 / E-Verify Digital Employment Verification</t>
  </si>
  <si>
    <t xml:space="preserve">Immigration Reform and Control Act / E-Verify</t>
  </si>
  <si>
    <t xml:space="preserve">TAL-015</t>
  </si>
  <si>
    <t xml:space="preserve">Reporting</t>
  </si>
  <si>
    <t xml:space="preserve">EEO-1 Component 1 Federal Reporting</t>
  </si>
  <si>
    <t xml:space="preserve">EEOC EEO-1 reporting rule</t>
  </si>
  <si>
    <t xml:space="preserve">TAL-016</t>
  </si>
  <si>
    <t xml:space="preserve">State Pay Data Reporting</t>
  </si>
  <si>
    <t xml:space="preserve">CA CRD Pay Data Report; IL Equal Pay Registration Certificate; similar state statutes</t>
  </si>
  <si>
    <t xml:space="preserve">US-CA, US-IL (+ others)</t>
  </si>
  <si>
    <t xml:space="preserve">TAL-008</t>
  </si>
  <si>
    <t xml:space="preserve">Hiring</t>
  </si>
  <si>
    <t xml:space="preserve">Non-Discriminatory Hiring Rubric Standardization</t>
  </si>
  <si>
    <t xml:space="preserve">EEOC guidance</t>
  </si>
  <si>
    <t xml:space="preserve">TEC-002</t>
  </si>
  <si>
    <t xml:space="preserve">Attestation</t>
  </si>
  <si>
    <t xml:space="preserve">SOC 1 (SSAE 18) Financial Controls Attestation</t>
  </si>
  <si>
    <t xml:space="preserve">AICPA SSAE 18 / ISAE 3402</t>
  </si>
  <si>
    <t xml:space="preserve">TEC-003</t>
  </si>
  <si>
    <t xml:space="preserve">SOC 2 Security/Confidentiality/Availability Attestation</t>
  </si>
  <si>
    <t xml:space="preserve">AICPA SOC 2</t>
  </si>
  <si>
    <t xml:space="preserve">TEC-006</t>
  </si>
  <si>
    <t xml:space="preserve">State Data Privacy Statute Compliance (CCPA/CPRA and equivalents)</t>
  </si>
  <si>
    <t xml:space="preserve">CCPA/CPRA and other state privacy acts</t>
  </si>
  <si>
    <t xml:space="preserve">TEC-009</t>
  </si>
  <si>
    <t xml:space="preserve">Encryption</t>
  </si>
  <si>
    <t xml:space="preserve">Automated Encryption Schema</t>
  </si>
  <si>
    <t xml:space="preserve">Internal security architecture / HIPAA / SOC 2</t>
  </si>
  <si>
    <t xml:space="preserve">TEC-010</t>
  </si>
  <si>
    <t xml:space="preserve">Consent</t>
  </si>
  <si>
    <t xml:space="preserve">Consent Tracking Module</t>
  </si>
  <si>
    <t xml:space="preserve">State privacy statutes / HIPAA</t>
  </si>
  <si>
    <t xml:space="preserve">State/Federal (varies)</t>
  </si>
  <si>
    <t xml:space="preserve">TEC-011</t>
  </si>
  <si>
    <t xml:space="preserve">Data Minimization</t>
  </si>
  <si>
    <t xml:space="preserve">Data Minimization Algorithm</t>
  </si>
  <si>
    <t xml:space="preserve">State privacy statutes / NIST guidance</t>
  </si>
  <si>
    <t xml:space="preserve">TEC-012</t>
  </si>
  <si>
    <t xml:space="preserve">Data Protection</t>
  </si>
  <si>
    <t xml:space="preserve">Automated Masking/Tokenization</t>
  </si>
  <si>
    <t xml:space="preserve">Internal security architecture / PCI-adjacent practice</t>
  </si>
  <si>
    <t xml:space="preserve">TEC-014</t>
  </si>
  <si>
    <t xml:space="preserve">Security Controls</t>
  </si>
  <si>
    <t xml:space="preserve">NIST 800-53 Security Control Baseline</t>
  </si>
  <si>
    <t xml:space="preserve">NIST 800-53</t>
  </si>
  <si>
    <t xml:space="preserve">Federal (framework)</t>
  </si>
  <si>
    <t xml:space="preserve">TEC-016</t>
  </si>
  <si>
    <t xml:space="preserve">Continuous SOC 1/SOC 2 Type II Attestation Cycle</t>
  </si>
  <si>
    <t xml:space="preserve">AICPA SSAE 18 / SOC 2</t>
  </si>
  <si>
    <t xml:space="preserve">TEC-017</t>
  </si>
  <si>
    <t xml:space="preserve">Security Testing</t>
  </si>
  <si>
    <t xml:space="preserve">Vulnerability &amp; Penetration Testing Cadence</t>
  </si>
  <si>
    <t xml:space="preserve">Internal security policy / SOC 2 requirement</t>
  </si>
  <si>
    <t xml:space="preserve">TEC-018</t>
  </si>
  <si>
    <t xml:space="preserve">Periodic Access Review</t>
  </si>
  <si>
    <t xml:space="preserve">Internal access governance / SOC 2</t>
  </si>
  <si>
    <t xml:space="preserve">TEC-019</t>
  </si>
  <si>
    <t xml:space="preserve">Data Lifecycle</t>
  </si>
  <si>
    <t xml:space="preserve">Data Retention &amp; Destruction Schedule</t>
  </si>
  <si>
    <t xml:space="preserve">State privacy statutes / internal records policy</t>
  </si>
  <si>
    <t xml:space="preserve">TEC-020</t>
  </si>
  <si>
    <t xml:space="preserve">Continuity</t>
  </si>
  <si>
    <t xml:space="preserve">Disaster Recovery / Business Continuity (DR/BCP) Audit</t>
  </si>
  <si>
    <t xml:space="preserve">Internal BCP policy / SOC 2 availability criteria</t>
  </si>
  <si>
    <t xml:space="preserve">TEC-015</t>
  </si>
  <si>
    <t xml:space="preserve">Portal Administration</t>
  </si>
  <si>
    <t xml:space="preserve">Self-Service Portal Access &amp; Admin Role Assignment</t>
  </si>
  <si>
    <t xml:space="preserve">Internal access governance</t>
  </si>
  <si>
    <t xml:space="preserve">PEO-006</t>
  </si>
  <si>
    <t xml:space="preserve">PEO Operational Standards</t>
  </si>
  <si>
    <t xml:space="preserve">Contractual Governance</t>
  </si>
  <si>
    <t xml:space="preserve">Client Allocation Matrix - Statutory Responsibility &amp; Liability Division</t>
  </si>
  <si>
    <t xml:space="preserve">State PEO Licensing Boards / Model PEO Acts</t>
  </si>
  <si>
    <t xml:space="preserve">PEO-007</t>
  </si>
  <si>
    <t xml:space="preserve">State Licensing</t>
  </si>
  <si>
    <t xml:space="preserve">State PEO Licensing Board Registration Compliance</t>
  </si>
  <si>
    <t xml:space="preserve">State PEO licensing statutes</t>
  </si>
  <si>
    <t xml:space="preserve">TAL-017</t>
  </si>
  <si>
    <t xml:space="preserve">Training</t>
  </si>
  <si>
    <t xml:space="preserve">Mandatory Training Completion Tracking</t>
  </si>
  <si>
    <t xml:space="preserve">Various statutory training mandates</t>
  </si>
  <si>
    <t xml:space="preserve">Federal/State (varies)</t>
  </si>
  <si>
    <t xml:space="preserve">TAL-012</t>
  </si>
  <si>
    <t xml:space="preserve">Statutory Sexual Harassment Prevention Training Cadence</t>
  </si>
  <si>
    <t xml:space="preserve">NY state training mandate; CA SB 1343</t>
  </si>
  <si>
    <t xml:space="preserve">US-NY (annual); US-CA (biannual)</t>
  </si>
  <si>
    <t xml:space="preserve">Develop/Deliver</t>
  </si>
  <si>
    <t xml:space="preserve">TAL-013</t>
  </si>
  <si>
    <t xml:space="preserve">Supervisor vs. Non-Supervisor Differentiated Training Tracks</t>
  </si>
  <si>
    <t xml:space="preserve">CA SB 1343 and similar state statutes</t>
  </si>
  <si>
    <t xml:space="preserve">CMP-005</t>
  </si>
  <si>
    <t xml:space="preserve">Annual Workplace Violence Prevention Training</t>
  </si>
  <si>
    <t xml:space="preserve">TAL-009</t>
  </si>
  <si>
    <t xml:space="preserve">Performance</t>
  </si>
  <si>
    <t xml:space="preserve">Standardized Performance Appraisal Criteria</t>
  </si>
  <si>
    <t xml:space="preserve">EEOC / AEDT governance</t>
  </si>
  <si>
    <t xml:space="preserve">Federal/State (where AEDT used)</t>
  </si>
  <si>
    <t xml:space="preserve">PAY-003</t>
  </si>
  <si>
    <t xml:space="preserve">DOL Multi-Factor Economic Reality Test</t>
  </si>
  <si>
    <t xml:space="preserve">DOL / Fair Labor Standards Act</t>
  </si>
  <si>
    <t xml:space="preserve">PAY-022</t>
  </si>
  <si>
    <t xml:space="preserve">Annual W-2 / 1099-MISC / 1099-NEC Generation</t>
  </si>
  <si>
    <t xml:space="preserve">IRS annual information returns</t>
  </si>
  <si>
    <t xml:space="preserve">PEO-001</t>
  </si>
  <si>
    <t xml:space="preserve">Federal Certification</t>
  </si>
  <si>
    <t xml:space="preserve">IRS Certified PEO (CPEO) Status</t>
  </si>
  <si>
    <t xml:space="preserve">IRC Section 7705</t>
  </si>
  <si>
    <t xml:space="preserve">Enterprise (L4) / Payroll &amp; Tax Domain Holon</t>
  </si>
  <si>
    <t xml:space="preserve">PEO-002</t>
  </si>
  <si>
    <t xml:space="preserve">CPEO Annual Independent CPA Audit</t>
  </si>
  <si>
    <t xml:space="preserve">PEO-003</t>
  </si>
  <si>
    <t xml:space="preserve">CPEO Federal Bonding Requirement</t>
  </si>
  <si>
    <t xml:space="preserve">PEO-004</t>
  </si>
  <si>
    <t xml:space="preserve">Industry Accreditation</t>
  </si>
  <si>
    <t xml:space="preserve">ESAC Accreditation - Continuous Financial Monitoring</t>
  </si>
  <si>
    <t xml:space="preserve">Employer Services Assurance Corporation (ESAC)</t>
  </si>
  <si>
    <t xml:space="preserve">Industry (national)</t>
  </si>
  <si>
    <t xml:space="preserve">PEO-005</t>
  </si>
  <si>
    <t xml:space="preserve">ESAC Client Protection Bond Maintenance</t>
  </si>
  <si>
    <t xml:space="preserve">ESAC</t>
  </si>
  <si>
    <t xml:space="preserve">PAY-023</t>
  </si>
  <si>
    <t xml:space="preserve">PEO Tax Certification</t>
  </si>
  <si>
    <t xml:space="preserve">Quarterly CPEO Tax Attestations</t>
  </si>
  <si>
    <t xml:space="preserve">IRC Section 7705 (CPEO)</t>
  </si>
  <si>
    <t xml:space="preserve">PAY-024</t>
  </si>
  <si>
    <t xml:space="preserve">Surety Bond Maintenance</t>
  </si>
  <si>
    <t xml:space="preserve">Portfolio coverage (live formulas)</t>
  </si>
  <si>
    <t xml:space="preserve">Projects</t>
  </si>
  <si>
    <t xml:space="preserve">Critical projects</t>
  </si>
  <si>
    <t xml:space="preserve">Rule assignments</t>
  </si>
  <si>
    <t xml:space="preserve">Total</t>
  </si>
  <si>
    <t xml:space="preserve">Register domain</t>
  </si>
  <si>
    <t xml:space="preserve">Rules in register</t>
  </si>
  <si>
    <t xml:space="preserve">Project assignments</t>
  </si>
  <si>
    <t xml:space="preserve">Rules uncovered</t>
  </si>
  <si>
    <t xml:space="preserve">Value-prop capability</t>
  </si>
  <si>
    <t xml:space="preserve">Projects realizing it</t>
  </si>
  <si>
    <t xml:space="preserve">C1 Single source of truth for policy</t>
  </si>
  <si>
    <t xml:space="preserve">C2 Personal-model-driven compliance</t>
  </si>
  <si>
    <t xml:space="preserve">C3 On-demand compliance training</t>
  </si>
  <si>
    <t xml:space="preserve">C4 Continuous values measurement</t>
  </si>
  <si>
    <t xml:space="preserve">C5 Faster, auditable compliance response</t>
  </si>
  <si>
    <t xml:space="preserve">C6 Analytics you can trust</t>
  </si>
  <si>
    <t xml:space="preserve">C7 Governance that scales</t>
  </si>
  <si>
    <t xml:space="preserve">C8 Trusted HR assistant (Jarvis, MTBH-governed)</t>
  </si>
  <si>
    <t xml:space="preserve">Rule_ID</t>
  </si>
  <si>
    <t xml:space="preserve">Rule_Name</t>
  </si>
  <si>
    <t xml:space="preserve">Assignments</t>
  </si>
  <si>
    <t xml:space="preserve">Gate criteria</t>
  </si>
  <si>
    <t xml:space="preserve">Gate 0 — ≥2,000 seed IP assets admitted with SHACL validation ≥98%; LKIF library covering FLSA, EEOC, OSHA, ERISA approved; ORSD templates approved for all six IP asset types.</t>
  </si>
  <si>
    <t xml:space="preserve">Gate 1 — MTBH_WHERE ≥99.5%, MTBH_WHAT ≥97%, P95 ≤3s, circuit-breaker trip rate ≤2%, self-service deflection ≥40%, zero cross-tenant incidents.</t>
  </si>
  <si>
    <t xml:space="preserve">Gate 2 — all six domain holons in production, MTBH aggregate ≥96% every dimension, 25–40 client companies, zero unflagged compliance obligations at go-live.</t>
  </si>
  <si>
    <t xml:space="preserve">Gate 3 — MTBH aggregate ≥97% sustained, zero cumulative cross-tenant breaches, data product live, full 50-state rollout complete.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</si>
</sst>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Arial"/>
      <family val="0"/>
      <charset val="1"/>
    </font>
    <font>
      <sz val="10"/>
      <color rgb="FF20344B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23A3A"/>
      <name val="Arial"/>
      <family val="0"/>
      <charset val="1"/>
    </font>
    <font>
      <b val="true"/>
      <sz val="13"/>
      <color rgb="FF0B1F3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3A"/>
        <bgColor rgb="FF20344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1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23A3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23A3A"/>
      <rgbColor rgb="FFFFFFCC"/>
      <rgbColor rgb="FFCCFFFF"/>
      <rgbColor rgb="FF660066"/>
      <rgbColor rgb="FFFF8080"/>
      <rgbColor rgb="FF0066CC"/>
      <rgbColor rgb="FFD8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2034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22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60"/>
    <col collapsed="false" customWidth="true" hidden="false" outlineLevel="0" max="12" min="12" style="0" width="44"/>
    <col collapsed="false" customWidth="true" hidden="false" outlineLevel="0" max="13" min="13" style="0" width="36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40"/>
    <col collapsed="false" customWidth="true" hidden="false" outlineLevel="0" max="17" min="17" style="0" width="34"/>
  </cols>
  <sheetData>
    <row r="1" customFormat="false" ht="30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</row>
    <row r="2" customFormat="false" ht="35.05" hidden="false" customHeight="false" outlineLevel="0" collapsed="false">
      <c r="A2" s="5" t="s">
        <v>30</v>
      </c>
      <c r="B2" s="5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7" t="s">
        <v>36</v>
      </c>
      <c r="H2" s="6" t="s">
        <v>37</v>
      </c>
      <c r="I2" s="6" t="s">
        <v>38</v>
      </c>
      <c r="J2" s="6" t="s">
        <v>39</v>
      </c>
      <c r="K2" s="6" t="s">
        <v>40</v>
      </c>
      <c r="L2" s="6" t="s">
        <v>41</v>
      </c>
      <c r="M2" s="6" t="s">
        <v>42</v>
      </c>
      <c r="N2" s="6" t="s">
        <v>43</v>
      </c>
      <c r="O2" s="6" t="n">
        <f aca="false">COUNTIF('Rule Traceability'!$A:$A,A2)</f>
        <v>4</v>
      </c>
      <c r="P2" s="6" t="s">
        <v>44</v>
      </c>
      <c r="Q2" s="6" t="s">
        <v>45</v>
      </c>
    </row>
    <row r="3" customFormat="false" ht="35.05" hidden="false" customHeight="false" outlineLevel="0" collapsed="false">
      <c r="A3" s="5" t="s">
        <v>46</v>
      </c>
      <c r="B3" s="5" t="s">
        <v>47</v>
      </c>
      <c r="C3" s="6" t="s">
        <v>32</v>
      </c>
      <c r="D3" s="6" t="s">
        <v>33</v>
      </c>
      <c r="E3" s="6" t="s">
        <v>48</v>
      </c>
      <c r="F3" s="6" t="s">
        <v>49</v>
      </c>
      <c r="G3" s="7" t="s">
        <v>36</v>
      </c>
      <c r="H3" s="6" t="s">
        <v>37</v>
      </c>
      <c r="I3" s="6" t="s">
        <v>38</v>
      </c>
      <c r="J3" s="6" t="s">
        <v>50</v>
      </c>
      <c r="K3" s="6" t="s">
        <v>51</v>
      </c>
      <c r="L3" s="6" t="s">
        <v>52</v>
      </c>
      <c r="M3" s="6" t="s">
        <v>53</v>
      </c>
      <c r="N3" s="6" t="s">
        <v>30</v>
      </c>
      <c r="O3" s="6" t="n">
        <f aca="false">COUNTIF('Rule Traceability'!$A:$A,A3)</f>
        <v>8</v>
      </c>
      <c r="P3" s="6" t="s">
        <v>54</v>
      </c>
      <c r="Q3" s="6" t="s">
        <v>55</v>
      </c>
    </row>
    <row r="4" customFormat="false" ht="35.05" hidden="false" customHeight="false" outlineLevel="0" collapsed="false">
      <c r="A4" s="5" t="s">
        <v>56</v>
      </c>
      <c r="B4" s="5" t="s">
        <v>57</v>
      </c>
      <c r="C4" s="6" t="s">
        <v>32</v>
      </c>
      <c r="D4" s="6" t="s">
        <v>33</v>
      </c>
      <c r="E4" s="6" t="s">
        <v>58</v>
      </c>
      <c r="F4" s="6" t="s">
        <v>59</v>
      </c>
      <c r="G4" s="6" t="s">
        <v>60</v>
      </c>
      <c r="H4" s="6" t="s">
        <v>37</v>
      </c>
      <c r="I4" s="6" t="s">
        <v>61</v>
      </c>
      <c r="J4" s="6" t="s">
        <v>62</v>
      </c>
      <c r="K4" s="6" t="s">
        <v>63</v>
      </c>
      <c r="L4" s="6" t="s">
        <v>64</v>
      </c>
      <c r="M4" s="6" t="s">
        <v>65</v>
      </c>
      <c r="N4" s="6" t="s">
        <v>30</v>
      </c>
      <c r="O4" s="6" t="n">
        <f aca="false">COUNTIF('Rule Traceability'!$A:$A,A4)</f>
        <v>2</v>
      </c>
      <c r="P4" s="6" t="s">
        <v>66</v>
      </c>
      <c r="Q4" s="6" t="s">
        <v>67</v>
      </c>
    </row>
    <row r="5" customFormat="false" ht="35.05" hidden="false" customHeight="false" outlineLevel="0" collapsed="false">
      <c r="A5" s="5" t="s">
        <v>68</v>
      </c>
      <c r="B5" s="5" t="s">
        <v>69</v>
      </c>
      <c r="C5" s="6" t="s">
        <v>32</v>
      </c>
      <c r="D5" s="6" t="s">
        <v>33</v>
      </c>
      <c r="E5" s="6" t="s">
        <v>58</v>
      </c>
      <c r="F5" s="6" t="s">
        <v>70</v>
      </c>
      <c r="G5" s="7" t="s">
        <v>36</v>
      </c>
      <c r="H5" s="6" t="s">
        <v>71</v>
      </c>
      <c r="I5" s="6" t="s">
        <v>61</v>
      </c>
      <c r="J5" s="6" t="s">
        <v>72</v>
      </c>
      <c r="K5" s="6" t="s">
        <v>73</v>
      </c>
      <c r="L5" s="6" t="s">
        <v>74</v>
      </c>
      <c r="M5" s="6" t="s">
        <v>75</v>
      </c>
      <c r="N5" s="6" t="s">
        <v>30</v>
      </c>
      <c r="O5" s="6" t="n">
        <f aca="false">COUNTIF('Rule Traceability'!$A:$A,A5)</f>
        <v>2</v>
      </c>
      <c r="P5" s="6" t="s">
        <v>76</v>
      </c>
      <c r="Q5" s="6" t="s">
        <v>77</v>
      </c>
    </row>
    <row r="6" customFormat="false" ht="35.05" hidden="false" customHeight="false" outlineLevel="0" collapsed="false">
      <c r="A6" s="5" t="s">
        <v>78</v>
      </c>
      <c r="B6" s="5" t="s">
        <v>79</v>
      </c>
      <c r="C6" s="6" t="s">
        <v>32</v>
      </c>
      <c r="D6" s="6" t="s">
        <v>33</v>
      </c>
      <c r="E6" s="6" t="s">
        <v>80</v>
      </c>
      <c r="F6" s="6" t="s">
        <v>81</v>
      </c>
      <c r="G6" s="6" t="s">
        <v>60</v>
      </c>
      <c r="H6" s="6" t="s">
        <v>71</v>
      </c>
      <c r="I6" s="6" t="s">
        <v>38</v>
      </c>
      <c r="J6" s="6" t="s">
        <v>82</v>
      </c>
      <c r="K6" s="6" t="s">
        <v>83</v>
      </c>
      <c r="L6" s="6" t="s">
        <v>84</v>
      </c>
      <c r="M6" s="6" t="s">
        <v>85</v>
      </c>
      <c r="N6" s="6" t="s">
        <v>30</v>
      </c>
      <c r="O6" s="6" t="n">
        <f aca="false">COUNTIF('Rule Traceability'!$A:$A,A6)</f>
        <v>3</v>
      </c>
      <c r="P6" s="6" t="s">
        <v>86</v>
      </c>
      <c r="Q6" s="6" t="s">
        <v>87</v>
      </c>
    </row>
    <row r="7" customFormat="false" ht="57.45" hidden="false" customHeight="false" outlineLevel="0" collapsed="false">
      <c r="A7" s="5" t="s">
        <v>88</v>
      </c>
      <c r="B7" s="5" t="s">
        <v>89</v>
      </c>
      <c r="C7" s="6" t="s">
        <v>90</v>
      </c>
      <c r="D7" s="6" t="s">
        <v>91</v>
      </c>
      <c r="E7" s="6" t="s">
        <v>92</v>
      </c>
      <c r="F7" s="6" t="s">
        <v>93</v>
      </c>
      <c r="G7" s="7" t="s">
        <v>36</v>
      </c>
      <c r="H7" s="6" t="s">
        <v>94</v>
      </c>
      <c r="I7" s="6" t="s">
        <v>95</v>
      </c>
      <c r="J7" s="6" t="s">
        <v>96</v>
      </c>
      <c r="K7" s="6" t="s">
        <v>97</v>
      </c>
      <c r="L7" s="6" t="s">
        <v>98</v>
      </c>
      <c r="M7" s="6" t="s">
        <v>99</v>
      </c>
      <c r="N7" s="6" t="s">
        <v>100</v>
      </c>
      <c r="O7" s="6" t="n">
        <f aca="false">COUNTIF('Rule Traceability'!$A:$A,A7)</f>
        <v>21</v>
      </c>
      <c r="P7" s="6" t="s">
        <v>101</v>
      </c>
      <c r="Q7" s="6" t="s">
        <v>102</v>
      </c>
    </row>
    <row r="8" customFormat="false" ht="57.45" hidden="false" customHeight="false" outlineLevel="0" collapsed="false">
      <c r="A8" s="5" t="s">
        <v>103</v>
      </c>
      <c r="B8" s="5" t="s">
        <v>104</v>
      </c>
      <c r="C8" s="6" t="s">
        <v>90</v>
      </c>
      <c r="D8" s="6" t="s">
        <v>91</v>
      </c>
      <c r="E8" s="6" t="s">
        <v>105</v>
      </c>
      <c r="F8" s="6" t="s">
        <v>106</v>
      </c>
      <c r="G8" s="7" t="s">
        <v>36</v>
      </c>
      <c r="H8" s="6" t="s">
        <v>94</v>
      </c>
      <c r="I8" s="6" t="s">
        <v>95</v>
      </c>
      <c r="J8" s="6" t="s">
        <v>107</v>
      </c>
      <c r="K8" s="6" t="s">
        <v>108</v>
      </c>
      <c r="L8" s="6" t="s">
        <v>109</v>
      </c>
      <c r="M8" s="6" t="s">
        <v>110</v>
      </c>
      <c r="N8" s="6" t="s">
        <v>111</v>
      </c>
      <c r="O8" s="6" t="n">
        <f aca="false">COUNTIF('Rule Traceability'!$A:$A,A8)</f>
        <v>21</v>
      </c>
      <c r="P8" s="6" t="s">
        <v>112</v>
      </c>
      <c r="Q8" s="6" t="s">
        <v>113</v>
      </c>
    </row>
    <row r="9" customFormat="false" ht="35.05" hidden="false" customHeight="false" outlineLevel="0" collapsed="false">
      <c r="A9" s="5" t="s">
        <v>114</v>
      </c>
      <c r="B9" s="5" t="s">
        <v>115</v>
      </c>
      <c r="C9" s="6" t="s">
        <v>90</v>
      </c>
      <c r="D9" s="6" t="s">
        <v>91</v>
      </c>
      <c r="E9" s="6" t="s">
        <v>58</v>
      </c>
      <c r="F9" s="6" t="s">
        <v>116</v>
      </c>
      <c r="G9" s="7" t="s">
        <v>36</v>
      </c>
      <c r="H9" s="6" t="s">
        <v>37</v>
      </c>
      <c r="I9" s="6" t="s">
        <v>95</v>
      </c>
      <c r="J9" s="6" t="s">
        <v>39</v>
      </c>
      <c r="K9" s="6" t="s">
        <v>117</v>
      </c>
      <c r="L9" s="6" t="s">
        <v>118</v>
      </c>
      <c r="M9" s="6" t="s">
        <v>119</v>
      </c>
      <c r="N9" s="6" t="s">
        <v>120</v>
      </c>
      <c r="O9" s="6" t="n">
        <f aca="false">COUNTIF('Rule Traceability'!$A:$A,A9)</f>
        <v>6</v>
      </c>
      <c r="P9" s="6" t="s">
        <v>121</v>
      </c>
      <c r="Q9" s="6" t="s">
        <v>122</v>
      </c>
    </row>
    <row r="10" customFormat="false" ht="23.85" hidden="false" customHeight="false" outlineLevel="0" collapsed="false">
      <c r="A10" s="5" t="s">
        <v>123</v>
      </c>
      <c r="B10" s="5" t="s">
        <v>124</v>
      </c>
      <c r="C10" s="6" t="s">
        <v>90</v>
      </c>
      <c r="D10" s="6" t="s">
        <v>91</v>
      </c>
      <c r="E10" s="6" t="s">
        <v>58</v>
      </c>
      <c r="F10" s="6" t="s">
        <v>35</v>
      </c>
      <c r="G10" s="6" t="s">
        <v>60</v>
      </c>
      <c r="H10" s="6" t="s">
        <v>71</v>
      </c>
      <c r="I10" s="6" t="s">
        <v>125</v>
      </c>
      <c r="J10" s="6" t="s">
        <v>50</v>
      </c>
      <c r="K10" s="6" t="s">
        <v>126</v>
      </c>
      <c r="L10" s="6" t="s">
        <v>127</v>
      </c>
      <c r="M10" s="6" t="s">
        <v>128</v>
      </c>
      <c r="N10" s="6" t="s">
        <v>46</v>
      </c>
      <c r="O10" s="6" t="n">
        <f aca="false">COUNTIF('Rule Traceability'!$A:$A,A10)</f>
        <v>5</v>
      </c>
      <c r="P10" s="6" t="s">
        <v>129</v>
      </c>
      <c r="Q10" s="6" t="s">
        <v>130</v>
      </c>
    </row>
    <row r="11" customFormat="false" ht="46.25" hidden="false" customHeight="false" outlineLevel="0" collapsed="false">
      <c r="A11" s="5" t="s">
        <v>131</v>
      </c>
      <c r="B11" s="5" t="s">
        <v>132</v>
      </c>
      <c r="C11" s="6" t="s">
        <v>90</v>
      </c>
      <c r="D11" s="6" t="s">
        <v>91</v>
      </c>
      <c r="E11" s="6" t="s">
        <v>133</v>
      </c>
      <c r="F11" s="6" t="s">
        <v>116</v>
      </c>
      <c r="G11" s="7" t="s">
        <v>36</v>
      </c>
      <c r="H11" s="6" t="s">
        <v>94</v>
      </c>
      <c r="I11" s="6" t="s">
        <v>95</v>
      </c>
      <c r="J11" s="6" t="s">
        <v>134</v>
      </c>
      <c r="K11" s="6" t="s">
        <v>135</v>
      </c>
      <c r="L11" s="6" t="s">
        <v>136</v>
      </c>
      <c r="M11" s="6" t="s">
        <v>137</v>
      </c>
      <c r="N11" s="6" t="s">
        <v>138</v>
      </c>
      <c r="O11" s="6" t="n">
        <f aca="false">COUNTIF('Rule Traceability'!$A:$A,A11)</f>
        <v>9</v>
      </c>
      <c r="P11" s="6" t="s">
        <v>139</v>
      </c>
      <c r="Q11" s="6" t="s">
        <v>140</v>
      </c>
    </row>
    <row r="12" customFormat="false" ht="35.05" hidden="false" customHeight="false" outlineLevel="0" collapsed="false">
      <c r="A12" s="5" t="s">
        <v>141</v>
      </c>
      <c r="B12" s="5" t="s">
        <v>142</v>
      </c>
      <c r="C12" s="6" t="s">
        <v>90</v>
      </c>
      <c r="D12" s="6" t="s">
        <v>91</v>
      </c>
      <c r="E12" s="6" t="s">
        <v>143</v>
      </c>
      <c r="F12" s="6" t="s">
        <v>144</v>
      </c>
      <c r="G12" s="7" t="s">
        <v>36</v>
      </c>
      <c r="H12" s="6" t="s">
        <v>37</v>
      </c>
      <c r="I12" s="6" t="s">
        <v>95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n">
        <f aca="false">COUNTIF('Rule Traceability'!$A:$A,A12)</f>
        <v>8</v>
      </c>
      <c r="P12" s="6" t="s">
        <v>150</v>
      </c>
      <c r="Q12" s="6" t="s">
        <v>151</v>
      </c>
    </row>
    <row r="13" customFormat="false" ht="35.05" hidden="false" customHeight="false" outlineLevel="0" collapsed="false">
      <c r="A13" s="5" t="s">
        <v>152</v>
      </c>
      <c r="B13" s="5" t="s">
        <v>153</v>
      </c>
      <c r="C13" s="6" t="s">
        <v>90</v>
      </c>
      <c r="D13" s="6" t="s">
        <v>91</v>
      </c>
      <c r="E13" s="6" t="s">
        <v>154</v>
      </c>
      <c r="F13" s="6" t="s">
        <v>155</v>
      </c>
      <c r="G13" s="6" t="s">
        <v>60</v>
      </c>
      <c r="H13" s="6" t="s">
        <v>94</v>
      </c>
      <c r="I13" s="6" t="s">
        <v>125</v>
      </c>
      <c r="J13" s="6" t="s">
        <v>156</v>
      </c>
      <c r="K13" s="6" t="s">
        <v>157</v>
      </c>
      <c r="L13" s="6" t="s">
        <v>158</v>
      </c>
      <c r="M13" s="6" t="s">
        <v>159</v>
      </c>
      <c r="N13" s="6" t="s">
        <v>160</v>
      </c>
      <c r="O13" s="6" t="n">
        <f aca="false">COUNTIF('Rule Traceability'!$A:$A,A13)</f>
        <v>5</v>
      </c>
      <c r="P13" s="6" t="s">
        <v>161</v>
      </c>
      <c r="Q13" s="6" t="s">
        <v>162</v>
      </c>
    </row>
    <row r="14" customFormat="false" ht="57.45" hidden="false" customHeight="false" outlineLevel="0" collapsed="false">
      <c r="A14" s="5" t="s">
        <v>163</v>
      </c>
      <c r="B14" s="5" t="s">
        <v>164</v>
      </c>
      <c r="C14" s="6" t="s">
        <v>165</v>
      </c>
      <c r="D14" s="6" t="s">
        <v>166</v>
      </c>
      <c r="E14" s="6" t="s">
        <v>167</v>
      </c>
      <c r="F14" s="6" t="s">
        <v>168</v>
      </c>
      <c r="G14" s="7" t="s">
        <v>36</v>
      </c>
      <c r="H14" s="6" t="s">
        <v>94</v>
      </c>
      <c r="I14" s="6" t="s">
        <v>125</v>
      </c>
      <c r="J14" s="6" t="s">
        <v>50</v>
      </c>
      <c r="K14" s="6" t="s">
        <v>169</v>
      </c>
      <c r="L14" s="6" t="s">
        <v>170</v>
      </c>
      <c r="M14" s="6" t="s">
        <v>171</v>
      </c>
      <c r="N14" s="6" t="s">
        <v>172</v>
      </c>
      <c r="O14" s="6" t="n">
        <f aca="false">COUNTIF('Rule Traceability'!$A:$A,A14)</f>
        <v>20</v>
      </c>
      <c r="P14" s="6" t="s">
        <v>173</v>
      </c>
      <c r="Q14" s="6" t="s">
        <v>174</v>
      </c>
    </row>
    <row r="15" customFormat="false" ht="35.05" hidden="false" customHeight="false" outlineLevel="0" collapsed="false">
      <c r="A15" s="5" t="s">
        <v>175</v>
      </c>
      <c r="B15" s="5" t="s">
        <v>176</v>
      </c>
      <c r="C15" s="6" t="s">
        <v>165</v>
      </c>
      <c r="D15" s="6" t="s">
        <v>166</v>
      </c>
      <c r="E15" s="6" t="s">
        <v>177</v>
      </c>
      <c r="F15" s="6" t="s">
        <v>178</v>
      </c>
      <c r="G15" s="6" t="s">
        <v>60</v>
      </c>
      <c r="H15" s="6" t="s">
        <v>37</v>
      </c>
      <c r="I15" s="6" t="s">
        <v>125</v>
      </c>
      <c r="J15" s="6" t="s">
        <v>179</v>
      </c>
      <c r="K15" s="6" t="s">
        <v>180</v>
      </c>
      <c r="L15" s="6" t="s">
        <v>181</v>
      </c>
      <c r="M15" s="6" t="s">
        <v>182</v>
      </c>
      <c r="N15" s="6" t="s">
        <v>172</v>
      </c>
      <c r="O15" s="6" t="n">
        <f aca="false">COUNTIF('Rule Traceability'!$A:$A,A15)</f>
        <v>13</v>
      </c>
      <c r="P15" s="6" t="s">
        <v>183</v>
      </c>
      <c r="Q15" s="6" t="s">
        <v>184</v>
      </c>
    </row>
    <row r="16" customFormat="false" ht="46.25" hidden="false" customHeight="false" outlineLevel="0" collapsed="false">
      <c r="A16" s="5" t="s">
        <v>185</v>
      </c>
      <c r="B16" s="5" t="s">
        <v>186</v>
      </c>
      <c r="C16" s="6" t="s">
        <v>165</v>
      </c>
      <c r="D16" s="6" t="s">
        <v>166</v>
      </c>
      <c r="E16" s="6" t="s">
        <v>143</v>
      </c>
      <c r="F16" s="6" t="s">
        <v>187</v>
      </c>
      <c r="G16" s="6" t="s">
        <v>60</v>
      </c>
      <c r="H16" s="6" t="s">
        <v>37</v>
      </c>
      <c r="I16" s="6" t="s">
        <v>125</v>
      </c>
      <c r="J16" s="6" t="s">
        <v>72</v>
      </c>
      <c r="K16" s="6" t="s">
        <v>188</v>
      </c>
      <c r="L16" s="6" t="s">
        <v>189</v>
      </c>
      <c r="M16" s="6" t="s">
        <v>190</v>
      </c>
      <c r="N16" s="6" t="s">
        <v>191</v>
      </c>
      <c r="O16" s="6" t="n">
        <f aca="false">COUNTIF('Rule Traceability'!$A:$A,A16)</f>
        <v>14</v>
      </c>
      <c r="P16" s="6" t="s">
        <v>192</v>
      </c>
      <c r="Q16" s="6" t="s">
        <v>193</v>
      </c>
    </row>
    <row r="17" customFormat="false" ht="23.85" hidden="false" customHeight="false" outlineLevel="0" collapsed="false">
      <c r="A17" s="5" t="s">
        <v>194</v>
      </c>
      <c r="B17" s="5" t="s">
        <v>195</v>
      </c>
      <c r="C17" s="6" t="s">
        <v>165</v>
      </c>
      <c r="D17" s="6" t="s">
        <v>166</v>
      </c>
      <c r="E17" s="6" t="s">
        <v>196</v>
      </c>
      <c r="F17" s="6" t="s">
        <v>197</v>
      </c>
      <c r="G17" s="6" t="s">
        <v>198</v>
      </c>
      <c r="H17" s="6" t="s">
        <v>37</v>
      </c>
      <c r="I17" s="6" t="s">
        <v>199</v>
      </c>
      <c r="J17" s="6" t="s">
        <v>200</v>
      </c>
      <c r="K17" s="6" t="s">
        <v>201</v>
      </c>
      <c r="L17" s="6" t="s">
        <v>202</v>
      </c>
      <c r="M17" s="6" t="s">
        <v>203</v>
      </c>
      <c r="N17" s="6" t="s">
        <v>204</v>
      </c>
      <c r="O17" s="6" t="n">
        <f aca="false">COUNTIF('Rule Traceability'!$A:$A,A17)</f>
        <v>3</v>
      </c>
      <c r="P17" s="6" t="s">
        <v>205</v>
      </c>
      <c r="Q17" s="6" t="s">
        <v>206</v>
      </c>
    </row>
    <row r="18" customFormat="false" ht="46.25" hidden="false" customHeight="false" outlineLevel="0" collapsed="false">
      <c r="A18" s="5" t="s">
        <v>207</v>
      </c>
      <c r="B18" s="5" t="s">
        <v>208</v>
      </c>
      <c r="C18" s="6" t="s">
        <v>165</v>
      </c>
      <c r="D18" s="6" t="s">
        <v>166</v>
      </c>
      <c r="E18" s="6" t="s">
        <v>154</v>
      </c>
      <c r="F18" s="6" t="s">
        <v>155</v>
      </c>
      <c r="G18" s="6" t="s">
        <v>60</v>
      </c>
      <c r="H18" s="6" t="s">
        <v>37</v>
      </c>
      <c r="I18" s="6" t="s">
        <v>199</v>
      </c>
      <c r="J18" s="6" t="s">
        <v>209</v>
      </c>
      <c r="K18" s="6" t="s">
        <v>210</v>
      </c>
      <c r="L18" s="6" t="s">
        <v>211</v>
      </c>
      <c r="M18" s="6" t="s">
        <v>212</v>
      </c>
      <c r="N18" s="6" t="s">
        <v>213</v>
      </c>
      <c r="O18" s="6" t="n">
        <f aca="false">COUNTIF('Rule Traceability'!$A:$A,A18)</f>
        <v>4</v>
      </c>
      <c r="P18" s="6" t="s">
        <v>214</v>
      </c>
      <c r="Q18" s="6" t="s">
        <v>215</v>
      </c>
    </row>
    <row r="19" customFormat="false" ht="35.05" hidden="false" customHeight="false" outlineLevel="0" collapsed="false">
      <c r="A19" s="5" t="s">
        <v>216</v>
      </c>
      <c r="B19" s="5" t="s">
        <v>217</v>
      </c>
      <c r="C19" s="6" t="s">
        <v>165</v>
      </c>
      <c r="D19" s="6" t="s">
        <v>166</v>
      </c>
      <c r="E19" s="6" t="s">
        <v>218</v>
      </c>
      <c r="F19" s="6" t="s">
        <v>35</v>
      </c>
      <c r="G19" s="6" t="s">
        <v>60</v>
      </c>
      <c r="H19" s="6" t="s">
        <v>37</v>
      </c>
      <c r="I19" s="6" t="s">
        <v>199</v>
      </c>
      <c r="J19" s="6" t="s">
        <v>219</v>
      </c>
      <c r="K19" s="6" t="s">
        <v>220</v>
      </c>
      <c r="L19" s="6" t="s">
        <v>221</v>
      </c>
      <c r="M19" s="6" t="s">
        <v>222</v>
      </c>
      <c r="N19" s="6" t="s">
        <v>191</v>
      </c>
      <c r="O19" s="6" t="n">
        <f aca="false">COUNTIF('Rule Traceability'!$A:$A,A19)</f>
        <v>5</v>
      </c>
      <c r="P19" s="6" t="s">
        <v>223</v>
      </c>
      <c r="Q19" s="6" t="s">
        <v>224</v>
      </c>
    </row>
    <row r="20" customFormat="false" ht="35.05" hidden="false" customHeight="false" outlineLevel="0" collapsed="false">
      <c r="A20" s="5" t="s">
        <v>225</v>
      </c>
      <c r="B20" s="5" t="s">
        <v>226</v>
      </c>
      <c r="C20" s="6" t="s">
        <v>165</v>
      </c>
      <c r="D20" s="6" t="s">
        <v>166</v>
      </c>
      <c r="E20" s="6" t="s">
        <v>227</v>
      </c>
      <c r="F20" s="6" t="s">
        <v>178</v>
      </c>
      <c r="G20" s="6" t="s">
        <v>198</v>
      </c>
      <c r="H20" s="6" t="s">
        <v>37</v>
      </c>
      <c r="I20" s="6" t="s">
        <v>199</v>
      </c>
      <c r="J20" s="6" t="s">
        <v>228</v>
      </c>
      <c r="K20" s="6" t="s">
        <v>229</v>
      </c>
      <c r="L20" s="6" t="s">
        <v>230</v>
      </c>
      <c r="M20" s="6" t="s">
        <v>231</v>
      </c>
      <c r="N20" s="6" t="s">
        <v>232</v>
      </c>
      <c r="O20" s="6" t="n">
        <f aca="false">COUNTIF('Rule Traceability'!$A:$A,A20)</f>
        <v>4</v>
      </c>
      <c r="P20" s="6" t="s">
        <v>233</v>
      </c>
      <c r="Q20" s="6" t="s">
        <v>234</v>
      </c>
    </row>
    <row r="21" customFormat="false" ht="35.05" hidden="false" customHeight="false" outlineLevel="0" collapsed="false">
      <c r="A21" s="5" t="s">
        <v>235</v>
      </c>
      <c r="B21" s="5" t="s">
        <v>236</v>
      </c>
      <c r="C21" s="6" t="s">
        <v>165</v>
      </c>
      <c r="D21" s="6" t="s">
        <v>166</v>
      </c>
      <c r="E21" s="6" t="s">
        <v>58</v>
      </c>
      <c r="F21" s="6" t="s">
        <v>237</v>
      </c>
      <c r="G21" s="6" t="s">
        <v>198</v>
      </c>
      <c r="H21" s="6" t="s">
        <v>71</v>
      </c>
      <c r="I21" s="6" t="s">
        <v>125</v>
      </c>
      <c r="J21" s="6" t="s">
        <v>238</v>
      </c>
      <c r="K21" s="6" t="s">
        <v>239</v>
      </c>
      <c r="L21" s="6" t="s">
        <v>240</v>
      </c>
      <c r="M21" s="6" t="s">
        <v>241</v>
      </c>
      <c r="N21" s="6" t="s">
        <v>114</v>
      </c>
      <c r="O21" s="6" t="n">
        <f aca="false">COUNTIF('Rule Traceability'!$A:$A,A21)</f>
        <v>3</v>
      </c>
      <c r="P21" s="6" t="s">
        <v>242</v>
      </c>
      <c r="Q21" s="6" t="s">
        <v>243</v>
      </c>
    </row>
    <row r="22" customFormat="false" ht="35.05" hidden="false" customHeight="false" outlineLevel="0" collapsed="false">
      <c r="A22" s="5" t="s">
        <v>244</v>
      </c>
      <c r="B22" s="5" t="s">
        <v>245</v>
      </c>
      <c r="C22" s="6" t="s">
        <v>165</v>
      </c>
      <c r="D22" s="6" t="s">
        <v>166</v>
      </c>
      <c r="E22" s="6" t="s">
        <v>246</v>
      </c>
      <c r="F22" s="6" t="s">
        <v>247</v>
      </c>
      <c r="G22" s="6" t="s">
        <v>60</v>
      </c>
      <c r="H22" s="6" t="s">
        <v>71</v>
      </c>
      <c r="I22" s="6" t="s">
        <v>125</v>
      </c>
      <c r="J22" s="6" t="s">
        <v>248</v>
      </c>
      <c r="K22" s="6" t="s">
        <v>249</v>
      </c>
      <c r="L22" s="6" t="s">
        <v>250</v>
      </c>
      <c r="M22" s="6" t="s">
        <v>251</v>
      </c>
      <c r="N22" s="6" t="s">
        <v>131</v>
      </c>
      <c r="O22" s="6" t="n">
        <f aca="false">COUNTIF('Rule Traceability'!$A:$A,A22)</f>
        <v>2</v>
      </c>
      <c r="P22" s="6" t="s">
        <v>252</v>
      </c>
      <c r="Q22" s="6" t="s">
        <v>253</v>
      </c>
    </row>
    <row r="23" customFormat="false" ht="23.85" hidden="false" customHeight="false" outlineLevel="0" collapsed="false">
      <c r="A23" s="5" t="s">
        <v>254</v>
      </c>
      <c r="B23" s="5" t="s">
        <v>255</v>
      </c>
      <c r="C23" s="6" t="s">
        <v>256</v>
      </c>
      <c r="D23" s="6" t="s">
        <v>257</v>
      </c>
      <c r="E23" s="6" t="s">
        <v>80</v>
      </c>
      <c r="F23" s="6" t="s">
        <v>258</v>
      </c>
      <c r="G23" s="6" t="s">
        <v>60</v>
      </c>
      <c r="H23" s="6" t="s">
        <v>71</v>
      </c>
      <c r="I23" s="6" t="s">
        <v>199</v>
      </c>
      <c r="J23" s="6" t="s">
        <v>259</v>
      </c>
      <c r="K23" s="6" t="s">
        <v>260</v>
      </c>
      <c r="L23" s="6" t="s">
        <v>261</v>
      </c>
      <c r="M23" s="6" t="s">
        <v>262</v>
      </c>
      <c r="N23" s="6" t="s">
        <v>263</v>
      </c>
      <c r="O23" s="6" t="n">
        <f aca="false">COUNTIF('Rule Traceability'!$A:$A,A23)</f>
        <v>4</v>
      </c>
      <c r="P23" s="6" t="s">
        <v>264</v>
      </c>
      <c r="Q23" s="6" t="s">
        <v>265</v>
      </c>
    </row>
    <row r="24" customFormat="false" ht="35.05" hidden="false" customHeight="false" outlineLevel="0" collapsed="false">
      <c r="A24" s="5" t="s">
        <v>266</v>
      </c>
      <c r="B24" s="5" t="s">
        <v>267</v>
      </c>
      <c r="C24" s="6" t="s">
        <v>256</v>
      </c>
      <c r="D24" s="6" t="s">
        <v>257</v>
      </c>
      <c r="E24" s="6" t="s">
        <v>268</v>
      </c>
      <c r="F24" s="6" t="s">
        <v>269</v>
      </c>
      <c r="G24" s="6" t="s">
        <v>198</v>
      </c>
      <c r="H24" s="6" t="s">
        <v>37</v>
      </c>
      <c r="I24" s="6" t="s">
        <v>199</v>
      </c>
      <c r="J24" s="6" t="s">
        <v>270</v>
      </c>
      <c r="K24" s="6" t="s">
        <v>271</v>
      </c>
      <c r="L24" s="6" t="s">
        <v>272</v>
      </c>
      <c r="M24" s="6" t="s">
        <v>273</v>
      </c>
      <c r="N24" s="6" t="s">
        <v>274</v>
      </c>
      <c r="O24" s="6" t="n">
        <f aca="false">COUNTIF('Rule Traceability'!$A:$A,A24)</f>
        <v>4</v>
      </c>
      <c r="P24" s="6" t="s">
        <v>275</v>
      </c>
      <c r="Q24" s="6" t="s">
        <v>276</v>
      </c>
    </row>
    <row r="25" customFormat="false" ht="35.05" hidden="false" customHeight="false" outlineLevel="0" collapsed="false">
      <c r="A25" s="5" t="s">
        <v>277</v>
      </c>
      <c r="B25" s="5" t="s">
        <v>278</v>
      </c>
      <c r="C25" s="6" t="s">
        <v>256</v>
      </c>
      <c r="D25" s="6" t="s">
        <v>257</v>
      </c>
      <c r="E25" s="6" t="s">
        <v>58</v>
      </c>
      <c r="F25" s="6" t="s">
        <v>49</v>
      </c>
      <c r="G25" s="6" t="s">
        <v>60</v>
      </c>
      <c r="H25" s="6" t="s">
        <v>37</v>
      </c>
      <c r="I25" s="6" t="s">
        <v>199</v>
      </c>
      <c r="J25" s="6" t="s">
        <v>279</v>
      </c>
      <c r="K25" s="6" t="s">
        <v>280</v>
      </c>
      <c r="L25" s="6" t="s">
        <v>281</v>
      </c>
      <c r="M25" s="6" t="s">
        <v>282</v>
      </c>
      <c r="N25" s="6" t="s">
        <v>283</v>
      </c>
      <c r="O25" s="6" t="n">
        <f aca="false">COUNTIF('Rule Traceability'!$A:$A,A25)</f>
        <v>4</v>
      </c>
      <c r="P25" s="6" t="s">
        <v>284</v>
      </c>
      <c r="Q25" s="6" t="s">
        <v>285</v>
      </c>
    </row>
    <row r="26" customFormat="false" ht="35.05" hidden="false" customHeight="false" outlineLevel="0" collapsed="false">
      <c r="A26" s="5" t="s">
        <v>286</v>
      </c>
      <c r="B26" s="5" t="s">
        <v>287</v>
      </c>
      <c r="C26" s="6" t="s">
        <v>256</v>
      </c>
      <c r="D26" s="6" t="s">
        <v>257</v>
      </c>
      <c r="E26" s="6" t="s">
        <v>154</v>
      </c>
      <c r="F26" s="6" t="s">
        <v>155</v>
      </c>
      <c r="G26" s="6" t="s">
        <v>198</v>
      </c>
      <c r="H26" s="6" t="s">
        <v>37</v>
      </c>
      <c r="I26" s="6" t="s">
        <v>199</v>
      </c>
      <c r="J26" s="6" t="s">
        <v>288</v>
      </c>
      <c r="K26" s="6" t="s">
        <v>289</v>
      </c>
      <c r="L26" s="6" t="s">
        <v>290</v>
      </c>
      <c r="M26" s="6" t="s">
        <v>291</v>
      </c>
      <c r="N26" s="6" t="s">
        <v>292</v>
      </c>
      <c r="O26" s="6" t="n">
        <f aca="false">COUNTIF('Rule Traceability'!$A:$A,A26)</f>
        <v>3</v>
      </c>
      <c r="P26" s="6" t="s">
        <v>293</v>
      </c>
      <c r="Q26" s="6" t="s">
        <v>294</v>
      </c>
    </row>
    <row r="27" customFormat="false" ht="35.05" hidden="false" customHeight="false" outlineLevel="0" collapsed="false">
      <c r="A27" s="5" t="s">
        <v>295</v>
      </c>
      <c r="B27" s="5" t="s">
        <v>296</v>
      </c>
      <c r="C27" s="6" t="s">
        <v>256</v>
      </c>
      <c r="D27" s="6" t="s">
        <v>257</v>
      </c>
      <c r="E27" s="6" t="s">
        <v>297</v>
      </c>
      <c r="F27" s="6" t="s">
        <v>298</v>
      </c>
      <c r="G27" s="6" t="s">
        <v>198</v>
      </c>
      <c r="H27" s="6" t="s">
        <v>71</v>
      </c>
      <c r="I27" s="6" t="s">
        <v>199</v>
      </c>
      <c r="J27" s="6" t="s">
        <v>39</v>
      </c>
      <c r="K27" s="6" t="s">
        <v>299</v>
      </c>
      <c r="L27" s="6" t="s">
        <v>300</v>
      </c>
      <c r="M27" s="6" t="s">
        <v>301</v>
      </c>
      <c r="N27" s="6" t="s">
        <v>302</v>
      </c>
      <c r="O27" s="6" t="n">
        <f aca="false">COUNTIF('Rule Traceability'!$A:$A,A27)</f>
        <v>3</v>
      </c>
      <c r="P27" s="6" t="s">
        <v>303</v>
      </c>
      <c r="Q27" s="6" t="s">
        <v>304</v>
      </c>
    </row>
    <row r="28" customFormat="false" ht="35.05" hidden="false" customHeight="false" outlineLevel="0" collapsed="false">
      <c r="A28" s="5" t="s">
        <v>305</v>
      </c>
      <c r="B28" s="5" t="s">
        <v>306</v>
      </c>
      <c r="C28" s="6" t="s">
        <v>256</v>
      </c>
      <c r="D28" s="6" t="s">
        <v>257</v>
      </c>
      <c r="E28" s="6" t="s">
        <v>80</v>
      </c>
      <c r="F28" s="6" t="s">
        <v>307</v>
      </c>
      <c r="G28" s="6" t="s">
        <v>60</v>
      </c>
      <c r="H28" s="6" t="s">
        <v>37</v>
      </c>
      <c r="I28" s="6" t="s">
        <v>199</v>
      </c>
      <c r="J28" s="6" t="s">
        <v>308</v>
      </c>
      <c r="K28" s="6" t="s">
        <v>309</v>
      </c>
      <c r="L28" s="6" t="s">
        <v>310</v>
      </c>
      <c r="M28" s="6" t="s">
        <v>311</v>
      </c>
      <c r="N28" s="6" t="s">
        <v>312</v>
      </c>
      <c r="O28" s="6" t="n">
        <f aca="false">COUNTIF('Rule Traceability'!$A:$A,A28)</f>
        <v>8</v>
      </c>
      <c r="P28" s="6" t="s">
        <v>313</v>
      </c>
      <c r="Q28" s="6" t="s">
        <v>314</v>
      </c>
    </row>
    <row r="29" customFormat="false" ht="23.85" hidden="false" customHeight="false" outlineLevel="0" collapsed="false">
      <c r="A29" s="5" t="s">
        <v>315</v>
      </c>
      <c r="B29" s="5" t="s">
        <v>316</v>
      </c>
      <c r="C29" s="6" t="s">
        <v>256</v>
      </c>
      <c r="D29" s="6" t="s">
        <v>257</v>
      </c>
      <c r="E29" s="6" t="s">
        <v>317</v>
      </c>
      <c r="F29" s="6" t="s">
        <v>317</v>
      </c>
      <c r="G29" s="6" t="s">
        <v>60</v>
      </c>
      <c r="H29" s="6" t="s">
        <v>94</v>
      </c>
      <c r="I29" s="6" t="s">
        <v>199</v>
      </c>
      <c r="J29" s="6" t="s">
        <v>318</v>
      </c>
      <c r="K29" s="6" t="s">
        <v>319</v>
      </c>
      <c r="L29" s="6" t="s">
        <v>320</v>
      </c>
      <c r="M29" s="6" t="s">
        <v>321</v>
      </c>
      <c r="N29" s="6" t="s">
        <v>322</v>
      </c>
      <c r="O29" s="6" t="n">
        <f aca="false">COUNTIF('Rule Traceability'!$A:$A,A29)</f>
        <v>4</v>
      </c>
      <c r="P29" s="6" t="s">
        <v>323</v>
      </c>
      <c r="Q29" s="6" t="s">
        <v>324</v>
      </c>
    </row>
  </sheetData>
  <autoFilter ref="A1:Q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6" min="5" style="0" width="18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8"/>
  </cols>
  <sheetData>
    <row r="1" customFormat="false" ht="30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325</v>
      </c>
      <c r="E1" s="4" t="s">
        <v>326</v>
      </c>
      <c r="F1" s="4" t="s">
        <v>327</v>
      </c>
      <c r="G1" s="4" t="s">
        <v>328</v>
      </c>
      <c r="H1" s="4" t="s">
        <v>329</v>
      </c>
      <c r="I1" s="4" t="s">
        <v>330</v>
      </c>
      <c r="J1" s="4" t="s">
        <v>331</v>
      </c>
      <c r="K1" s="4" t="s">
        <v>332</v>
      </c>
      <c r="L1" s="4" t="s">
        <v>333</v>
      </c>
    </row>
    <row r="2" customFormat="false" ht="23.85" hidden="false" customHeight="false" outlineLevel="0" collapsed="false">
      <c r="A2" s="6" t="s">
        <v>30</v>
      </c>
      <c r="B2" s="6" t="s">
        <v>31</v>
      </c>
      <c r="C2" s="6" t="s">
        <v>32</v>
      </c>
      <c r="D2" s="6" t="s">
        <v>334</v>
      </c>
      <c r="E2" s="6" t="s">
        <v>335</v>
      </c>
      <c r="F2" s="6" t="s">
        <v>336</v>
      </c>
      <c r="G2" s="6" t="s">
        <v>337</v>
      </c>
      <c r="H2" s="6" t="s">
        <v>338</v>
      </c>
      <c r="I2" s="6" t="s">
        <v>339</v>
      </c>
      <c r="J2" s="6" t="s">
        <v>340</v>
      </c>
      <c r="K2" s="6" t="s">
        <v>341</v>
      </c>
      <c r="L2" s="6" t="s">
        <v>342</v>
      </c>
    </row>
    <row r="3" customFormat="false" ht="23.85" hidden="false" customHeight="false" outlineLevel="0" collapsed="false">
      <c r="A3" s="6" t="s">
        <v>30</v>
      </c>
      <c r="B3" s="6" t="s">
        <v>31</v>
      </c>
      <c r="C3" s="6" t="s">
        <v>32</v>
      </c>
      <c r="D3" s="6" t="s">
        <v>343</v>
      </c>
      <c r="E3" s="6" t="s">
        <v>335</v>
      </c>
      <c r="F3" s="6" t="s">
        <v>344</v>
      </c>
      <c r="G3" s="6" t="s">
        <v>345</v>
      </c>
      <c r="H3" s="6" t="s">
        <v>338</v>
      </c>
      <c r="I3" s="6" t="s">
        <v>346</v>
      </c>
      <c r="J3" s="6" t="s">
        <v>340</v>
      </c>
      <c r="K3" s="6" t="s">
        <v>341</v>
      </c>
      <c r="L3" s="6" t="s">
        <v>347</v>
      </c>
    </row>
    <row r="4" customFormat="false" ht="23.85" hidden="false" customHeight="false" outlineLevel="0" collapsed="false">
      <c r="A4" s="6" t="s">
        <v>30</v>
      </c>
      <c r="B4" s="6" t="s">
        <v>31</v>
      </c>
      <c r="C4" s="6" t="s">
        <v>32</v>
      </c>
      <c r="D4" s="6" t="s">
        <v>348</v>
      </c>
      <c r="E4" s="6" t="s">
        <v>335</v>
      </c>
      <c r="F4" s="6" t="s">
        <v>349</v>
      </c>
      <c r="G4" s="6" t="s">
        <v>350</v>
      </c>
      <c r="H4" s="6" t="s">
        <v>338</v>
      </c>
      <c r="I4" s="6" t="s">
        <v>351</v>
      </c>
      <c r="J4" s="6" t="s">
        <v>340</v>
      </c>
      <c r="K4" s="6" t="s">
        <v>341</v>
      </c>
      <c r="L4" s="6" t="s">
        <v>352</v>
      </c>
    </row>
    <row r="5" customFormat="false" ht="46.25" hidden="false" customHeight="false" outlineLevel="0" collapsed="false">
      <c r="A5" s="6" t="s">
        <v>30</v>
      </c>
      <c r="B5" s="6" t="s">
        <v>31</v>
      </c>
      <c r="C5" s="6" t="s">
        <v>32</v>
      </c>
      <c r="D5" s="6" t="s">
        <v>353</v>
      </c>
      <c r="E5" s="6" t="s">
        <v>335</v>
      </c>
      <c r="F5" s="6" t="s">
        <v>354</v>
      </c>
      <c r="G5" s="6" t="s">
        <v>355</v>
      </c>
      <c r="H5" s="6" t="s">
        <v>338</v>
      </c>
      <c r="I5" s="6" t="s">
        <v>356</v>
      </c>
      <c r="J5" s="6" t="s">
        <v>340</v>
      </c>
      <c r="K5" s="6" t="s">
        <v>341</v>
      </c>
      <c r="L5" s="6" t="s">
        <v>357</v>
      </c>
    </row>
    <row r="6" customFormat="false" ht="23.85" hidden="false" customHeight="false" outlineLevel="0" collapsed="false">
      <c r="A6" s="6" t="s">
        <v>46</v>
      </c>
      <c r="B6" s="6" t="s">
        <v>47</v>
      </c>
      <c r="C6" s="6" t="s">
        <v>32</v>
      </c>
      <c r="D6" s="6" t="s">
        <v>358</v>
      </c>
      <c r="E6" s="6" t="s">
        <v>359</v>
      </c>
      <c r="F6" s="6" t="s">
        <v>360</v>
      </c>
      <c r="G6" s="6" t="s">
        <v>361</v>
      </c>
      <c r="H6" s="6" t="s">
        <v>362</v>
      </c>
      <c r="I6" s="6" t="s">
        <v>363</v>
      </c>
      <c r="J6" s="6" t="s">
        <v>364</v>
      </c>
      <c r="K6" s="6" t="s">
        <v>365</v>
      </c>
      <c r="L6" s="6" t="s">
        <v>89</v>
      </c>
    </row>
    <row r="7" customFormat="false" ht="23.85" hidden="false" customHeight="false" outlineLevel="0" collapsed="false">
      <c r="A7" s="6" t="s">
        <v>46</v>
      </c>
      <c r="B7" s="6" t="s">
        <v>47</v>
      </c>
      <c r="C7" s="6" t="s">
        <v>32</v>
      </c>
      <c r="D7" s="6" t="s">
        <v>366</v>
      </c>
      <c r="E7" s="6" t="s">
        <v>359</v>
      </c>
      <c r="F7" s="6" t="s">
        <v>360</v>
      </c>
      <c r="G7" s="6" t="s">
        <v>367</v>
      </c>
      <c r="H7" s="6" t="s">
        <v>368</v>
      </c>
      <c r="I7" s="6" t="s">
        <v>369</v>
      </c>
      <c r="J7" s="6" t="s">
        <v>370</v>
      </c>
      <c r="K7" s="6" t="s">
        <v>365</v>
      </c>
      <c r="L7" s="6" t="s">
        <v>371</v>
      </c>
    </row>
    <row r="8" customFormat="false" ht="23.85" hidden="false" customHeight="false" outlineLevel="0" collapsed="false">
      <c r="A8" s="6" t="s">
        <v>46</v>
      </c>
      <c r="B8" s="6" t="s">
        <v>47</v>
      </c>
      <c r="C8" s="6" t="s">
        <v>32</v>
      </c>
      <c r="D8" s="6" t="s">
        <v>372</v>
      </c>
      <c r="E8" s="6" t="s">
        <v>359</v>
      </c>
      <c r="F8" s="6" t="s">
        <v>373</v>
      </c>
      <c r="G8" s="6" t="s">
        <v>374</v>
      </c>
      <c r="H8" s="6" t="s">
        <v>368</v>
      </c>
      <c r="I8" s="6" t="s">
        <v>363</v>
      </c>
      <c r="J8" s="6" t="s">
        <v>364</v>
      </c>
      <c r="K8" s="6" t="s">
        <v>365</v>
      </c>
      <c r="L8" s="6" t="s">
        <v>371</v>
      </c>
    </row>
    <row r="9" customFormat="false" ht="23.85" hidden="false" customHeight="false" outlineLevel="0" collapsed="false">
      <c r="A9" s="6" t="s">
        <v>46</v>
      </c>
      <c r="B9" s="6" t="s">
        <v>47</v>
      </c>
      <c r="C9" s="6" t="s">
        <v>32</v>
      </c>
      <c r="D9" s="6" t="s">
        <v>375</v>
      </c>
      <c r="E9" s="6" t="s">
        <v>376</v>
      </c>
      <c r="F9" s="6" t="s">
        <v>377</v>
      </c>
      <c r="G9" s="6" t="s">
        <v>378</v>
      </c>
      <c r="H9" s="6" t="s">
        <v>338</v>
      </c>
      <c r="I9" s="6" t="s">
        <v>379</v>
      </c>
      <c r="J9" s="6" t="s">
        <v>364</v>
      </c>
      <c r="K9" s="6" t="s">
        <v>125</v>
      </c>
      <c r="L9" s="6" t="s">
        <v>380</v>
      </c>
    </row>
    <row r="10" customFormat="false" ht="23.85" hidden="false" customHeight="false" outlineLevel="0" collapsed="false">
      <c r="A10" s="6" t="s">
        <v>46</v>
      </c>
      <c r="B10" s="6" t="s">
        <v>47</v>
      </c>
      <c r="C10" s="6" t="s">
        <v>32</v>
      </c>
      <c r="D10" s="6" t="s">
        <v>381</v>
      </c>
      <c r="E10" s="6" t="s">
        <v>382</v>
      </c>
      <c r="F10" s="6" t="s">
        <v>383</v>
      </c>
      <c r="G10" s="6" t="s">
        <v>384</v>
      </c>
      <c r="H10" s="6" t="s">
        <v>385</v>
      </c>
      <c r="I10" s="6" t="s">
        <v>386</v>
      </c>
      <c r="J10" s="6" t="s">
        <v>387</v>
      </c>
      <c r="K10" s="6" t="s">
        <v>365</v>
      </c>
      <c r="L10" s="6" t="s">
        <v>388</v>
      </c>
    </row>
    <row r="11" customFormat="false" ht="23.85" hidden="false" customHeight="false" outlineLevel="0" collapsed="false">
      <c r="A11" s="6" t="s">
        <v>46</v>
      </c>
      <c r="B11" s="6" t="s">
        <v>47</v>
      </c>
      <c r="C11" s="6" t="s">
        <v>32</v>
      </c>
      <c r="D11" s="6" t="s">
        <v>389</v>
      </c>
      <c r="E11" s="6" t="s">
        <v>390</v>
      </c>
      <c r="F11" s="6" t="s">
        <v>391</v>
      </c>
      <c r="G11" s="6" t="s">
        <v>392</v>
      </c>
      <c r="H11" s="6" t="s">
        <v>393</v>
      </c>
      <c r="I11" s="6" t="s">
        <v>394</v>
      </c>
      <c r="J11" s="6" t="s">
        <v>364</v>
      </c>
      <c r="K11" s="6" t="s">
        <v>199</v>
      </c>
      <c r="L11" s="6" t="s">
        <v>395</v>
      </c>
    </row>
    <row r="12" customFormat="false" ht="23.85" hidden="false" customHeight="false" outlineLevel="0" collapsed="false">
      <c r="A12" s="6" t="s">
        <v>46</v>
      </c>
      <c r="B12" s="6" t="s">
        <v>47</v>
      </c>
      <c r="C12" s="6" t="s">
        <v>32</v>
      </c>
      <c r="D12" s="6" t="s">
        <v>348</v>
      </c>
      <c r="E12" s="6" t="s">
        <v>335</v>
      </c>
      <c r="F12" s="6" t="s">
        <v>349</v>
      </c>
      <c r="G12" s="6" t="s">
        <v>350</v>
      </c>
      <c r="H12" s="6" t="s">
        <v>338</v>
      </c>
      <c r="I12" s="6" t="s">
        <v>351</v>
      </c>
      <c r="J12" s="6" t="s">
        <v>340</v>
      </c>
      <c r="K12" s="6" t="s">
        <v>341</v>
      </c>
      <c r="L12" s="6" t="s">
        <v>352</v>
      </c>
    </row>
    <row r="13" customFormat="false" ht="23.85" hidden="false" customHeight="false" outlineLevel="0" collapsed="false">
      <c r="A13" s="6" t="s">
        <v>46</v>
      </c>
      <c r="B13" s="6" t="s">
        <v>47</v>
      </c>
      <c r="C13" s="6" t="s">
        <v>32</v>
      </c>
      <c r="D13" s="6" t="s">
        <v>396</v>
      </c>
      <c r="E13" s="6" t="s">
        <v>335</v>
      </c>
      <c r="F13" s="6" t="s">
        <v>397</v>
      </c>
      <c r="G13" s="6" t="s">
        <v>398</v>
      </c>
      <c r="H13" s="6" t="s">
        <v>338</v>
      </c>
      <c r="I13" s="6" t="s">
        <v>399</v>
      </c>
      <c r="J13" s="6" t="s">
        <v>340</v>
      </c>
      <c r="K13" s="6" t="s">
        <v>400</v>
      </c>
      <c r="L13" s="6" t="s">
        <v>401</v>
      </c>
    </row>
    <row r="14" customFormat="false" ht="23.85" hidden="false" customHeight="false" outlineLevel="0" collapsed="false">
      <c r="A14" s="6" t="s">
        <v>56</v>
      </c>
      <c r="B14" s="6" t="s">
        <v>57</v>
      </c>
      <c r="C14" s="6" t="s">
        <v>32</v>
      </c>
      <c r="D14" s="6" t="s">
        <v>402</v>
      </c>
      <c r="E14" s="6" t="s">
        <v>335</v>
      </c>
      <c r="F14" s="6" t="s">
        <v>403</v>
      </c>
      <c r="G14" s="6" t="s">
        <v>404</v>
      </c>
      <c r="H14" s="6" t="s">
        <v>338</v>
      </c>
      <c r="I14" s="6" t="s">
        <v>405</v>
      </c>
      <c r="J14" s="6" t="s">
        <v>340</v>
      </c>
      <c r="K14" s="6" t="s">
        <v>341</v>
      </c>
      <c r="L14" s="6" t="s">
        <v>406</v>
      </c>
    </row>
    <row r="15" customFormat="false" ht="23.85" hidden="false" customHeight="false" outlineLevel="0" collapsed="false">
      <c r="A15" s="6" t="s">
        <v>56</v>
      </c>
      <c r="B15" s="6" t="s">
        <v>57</v>
      </c>
      <c r="C15" s="6" t="s">
        <v>32</v>
      </c>
      <c r="D15" s="6" t="s">
        <v>407</v>
      </c>
      <c r="E15" s="6" t="s">
        <v>335</v>
      </c>
      <c r="F15" s="6" t="s">
        <v>408</v>
      </c>
      <c r="G15" s="6" t="s">
        <v>409</v>
      </c>
      <c r="H15" s="6" t="s">
        <v>338</v>
      </c>
      <c r="I15" s="6" t="s">
        <v>405</v>
      </c>
      <c r="J15" s="6" t="s">
        <v>340</v>
      </c>
      <c r="K15" s="6" t="s">
        <v>341</v>
      </c>
      <c r="L15" s="6" t="s">
        <v>406</v>
      </c>
    </row>
    <row r="16" customFormat="false" ht="23.85" hidden="false" customHeight="false" outlineLevel="0" collapsed="false">
      <c r="A16" s="6" t="s">
        <v>68</v>
      </c>
      <c r="B16" s="6" t="s">
        <v>69</v>
      </c>
      <c r="C16" s="6" t="s">
        <v>32</v>
      </c>
      <c r="D16" s="6" t="s">
        <v>410</v>
      </c>
      <c r="E16" s="6" t="s">
        <v>335</v>
      </c>
      <c r="F16" s="6" t="s">
        <v>411</v>
      </c>
      <c r="G16" s="6" t="s">
        <v>412</v>
      </c>
      <c r="H16" s="6" t="s">
        <v>338</v>
      </c>
      <c r="I16" s="6" t="s">
        <v>413</v>
      </c>
      <c r="J16" s="6" t="s">
        <v>340</v>
      </c>
      <c r="K16" s="6" t="s">
        <v>341</v>
      </c>
      <c r="L16" s="6" t="s">
        <v>406</v>
      </c>
    </row>
    <row r="17" customFormat="false" ht="23.85" hidden="false" customHeight="false" outlineLevel="0" collapsed="false">
      <c r="A17" s="6" t="s">
        <v>68</v>
      </c>
      <c r="B17" s="6" t="s">
        <v>69</v>
      </c>
      <c r="C17" s="6" t="s">
        <v>32</v>
      </c>
      <c r="D17" s="6" t="s">
        <v>414</v>
      </c>
      <c r="E17" s="6" t="s">
        <v>415</v>
      </c>
      <c r="F17" s="6" t="s">
        <v>416</v>
      </c>
      <c r="G17" s="6" t="s">
        <v>417</v>
      </c>
      <c r="H17" s="6" t="s">
        <v>338</v>
      </c>
      <c r="I17" s="6" t="s">
        <v>418</v>
      </c>
      <c r="J17" s="6" t="s">
        <v>340</v>
      </c>
      <c r="K17" s="6" t="s">
        <v>419</v>
      </c>
      <c r="L17" s="6" t="s">
        <v>420</v>
      </c>
    </row>
    <row r="18" customFormat="false" ht="23.85" hidden="false" customHeight="false" outlineLevel="0" collapsed="false">
      <c r="A18" s="6" t="s">
        <v>78</v>
      </c>
      <c r="B18" s="6" t="s">
        <v>79</v>
      </c>
      <c r="C18" s="6" t="s">
        <v>32</v>
      </c>
      <c r="D18" s="6" t="s">
        <v>421</v>
      </c>
      <c r="E18" s="6" t="s">
        <v>335</v>
      </c>
      <c r="F18" s="6" t="s">
        <v>422</v>
      </c>
      <c r="G18" s="6" t="s">
        <v>423</v>
      </c>
      <c r="H18" s="6" t="s">
        <v>338</v>
      </c>
      <c r="I18" s="6" t="s">
        <v>424</v>
      </c>
      <c r="J18" s="6" t="s">
        <v>340</v>
      </c>
      <c r="K18" s="6" t="s">
        <v>341</v>
      </c>
      <c r="L18" s="6" t="s">
        <v>425</v>
      </c>
    </row>
    <row r="19" customFormat="false" ht="23.85" hidden="false" customHeight="false" outlineLevel="0" collapsed="false">
      <c r="A19" s="6" t="s">
        <v>78</v>
      </c>
      <c r="B19" s="6" t="s">
        <v>79</v>
      </c>
      <c r="C19" s="6" t="s">
        <v>32</v>
      </c>
      <c r="D19" s="6" t="s">
        <v>426</v>
      </c>
      <c r="E19" s="6" t="s">
        <v>335</v>
      </c>
      <c r="F19" s="6" t="s">
        <v>427</v>
      </c>
      <c r="G19" s="6" t="s">
        <v>428</v>
      </c>
      <c r="H19" s="6" t="s">
        <v>338</v>
      </c>
      <c r="I19" s="6" t="s">
        <v>424</v>
      </c>
      <c r="J19" s="6" t="s">
        <v>340</v>
      </c>
      <c r="K19" s="6" t="s">
        <v>341</v>
      </c>
      <c r="L19" s="6" t="s">
        <v>425</v>
      </c>
    </row>
    <row r="20" customFormat="false" ht="46.25" hidden="false" customHeight="false" outlineLevel="0" collapsed="false">
      <c r="A20" s="6" t="s">
        <v>78</v>
      </c>
      <c r="B20" s="6" t="s">
        <v>79</v>
      </c>
      <c r="C20" s="6" t="s">
        <v>32</v>
      </c>
      <c r="D20" s="6" t="s">
        <v>353</v>
      </c>
      <c r="E20" s="6" t="s">
        <v>335</v>
      </c>
      <c r="F20" s="6" t="s">
        <v>354</v>
      </c>
      <c r="G20" s="6" t="s">
        <v>355</v>
      </c>
      <c r="H20" s="6" t="s">
        <v>338</v>
      </c>
      <c r="I20" s="6" t="s">
        <v>356</v>
      </c>
      <c r="J20" s="6" t="s">
        <v>340</v>
      </c>
      <c r="K20" s="6" t="s">
        <v>341</v>
      </c>
      <c r="L20" s="6" t="s">
        <v>357</v>
      </c>
    </row>
    <row r="21" customFormat="false" ht="23.85" hidden="false" customHeight="false" outlineLevel="0" collapsed="false">
      <c r="A21" s="6" t="s">
        <v>88</v>
      </c>
      <c r="B21" s="6" t="s">
        <v>89</v>
      </c>
      <c r="C21" s="6" t="s">
        <v>90</v>
      </c>
      <c r="D21" s="6" t="s">
        <v>366</v>
      </c>
      <c r="E21" s="6" t="s">
        <v>359</v>
      </c>
      <c r="F21" s="6" t="s">
        <v>360</v>
      </c>
      <c r="G21" s="6" t="s">
        <v>367</v>
      </c>
      <c r="H21" s="6" t="s">
        <v>368</v>
      </c>
      <c r="I21" s="6" t="s">
        <v>369</v>
      </c>
      <c r="J21" s="6" t="s">
        <v>370</v>
      </c>
      <c r="K21" s="6" t="s">
        <v>365</v>
      </c>
      <c r="L21" s="6" t="s">
        <v>371</v>
      </c>
    </row>
    <row r="22" customFormat="false" ht="23.85" hidden="false" customHeight="false" outlineLevel="0" collapsed="false">
      <c r="A22" s="6" t="s">
        <v>88</v>
      </c>
      <c r="B22" s="6" t="s">
        <v>89</v>
      </c>
      <c r="C22" s="6" t="s">
        <v>90</v>
      </c>
      <c r="D22" s="6" t="s">
        <v>429</v>
      </c>
      <c r="E22" s="6" t="s">
        <v>359</v>
      </c>
      <c r="F22" s="6" t="s">
        <v>373</v>
      </c>
      <c r="G22" s="6" t="s">
        <v>430</v>
      </c>
      <c r="H22" s="6" t="s">
        <v>368</v>
      </c>
      <c r="I22" s="6" t="s">
        <v>431</v>
      </c>
      <c r="J22" s="6" t="s">
        <v>432</v>
      </c>
      <c r="K22" s="6" t="s">
        <v>365</v>
      </c>
      <c r="L22" s="6" t="s">
        <v>433</v>
      </c>
    </row>
    <row r="23" customFormat="false" ht="15" hidden="false" customHeight="false" outlineLevel="0" collapsed="false">
      <c r="A23" s="6" t="s">
        <v>88</v>
      </c>
      <c r="B23" s="6" t="s">
        <v>89</v>
      </c>
      <c r="C23" s="6" t="s">
        <v>90</v>
      </c>
      <c r="D23" s="6" t="s">
        <v>434</v>
      </c>
      <c r="E23" s="6" t="s">
        <v>359</v>
      </c>
      <c r="F23" s="6" t="s">
        <v>373</v>
      </c>
      <c r="G23" s="6" t="s">
        <v>435</v>
      </c>
      <c r="H23" s="6" t="s">
        <v>368</v>
      </c>
      <c r="I23" s="6" t="s">
        <v>431</v>
      </c>
      <c r="J23" s="6" t="s">
        <v>432</v>
      </c>
      <c r="K23" s="6" t="s">
        <v>365</v>
      </c>
      <c r="L23" s="6" t="s">
        <v>371</v>
      </c>
    </row>
    <row r="24" customFormat="false" ht="23.85" hidden="false" customHeight="false" outlineLevel="0" collapsed="false">
      <c r="A24" s="6" t="s">
        <v>88</v>
      </c>
      <c r="B24" s="6" t="s">
        <v>89</v>
      </c>
      <c r="C24" s="6" t="s">
        <v>90</v>
      </c>
      <c r="D24" s="6" t="s">
        <v>436</v>
      </c>
      <c r="E24" s="6" t="s">
        <v>359</v>
      </c>
      <c r="F24" s="6" t="s">
        <v>373</v>
      </c>
      <c r="G24" s="6" t="s">
        <v>437</v>
      </c>
      <c r="H24" s="6" t="s">
        <v>368</v>
      </c>
      <c r="I24" s="6" t="s">
        <v>438</v>
      </c>
      <c r="J24" s="6" t="s">
        <v>439</v>
      </c>
      <c r="K24" s="6" t="s">
        <v>365</v>
      </c>
      <c r="L24" s="6" t="s">
        <v>371</v>
      </c>
    </row>
    <row r="25" customFormat="false" ht="23.85" hidden="false" customHeight="false" outlineLevel="0" collapsed="false">
      <c r="A25" s="6" t="s">
        <v>88</v>
      </c>
      <c r="B25" s="6" t="s">
        <v>89</v>
      </c>
      <c r="C25" s="6" t="s">
        <v>90</v>
      </c>
      <c r="D25" s="6" t="s">
        <v>440</v>
      </c>
      <c r="E25" s="6" t="s">
        <v>359</v>
      </c>
      <c r="F25" s="6" t="s">
        <v>441</v>
      </c>
      <c r="G25" s="6" t="s">
        <v>442</v>
      </c>
      <c r="H25" s="6" t="s">
        <v>368</v>
      </c>
      <c r="I25" s="6" t="s">
        <v>443</v>
      </c>
      <c r="J25" s="6" t="s">
        <v>444</v>
      </c>
      <c r="K25" s="6" t="s">
        <v>365</v>
      </c>
      <c r="L25" s="6" t="s">
        <v>371</v>
      </c>
    </row>
    <row r="26" customFormat="false" ht="23.85" hidden="false" customHeight="false" outlineLevel="0" collapsed="false">
      <c r="A26" s="6" t="s">
        <v>88</v>
      </c>
      <c r="B26" s="6" t="s">
        <v>89</v>
      </c>
      <c r="C26" s="6" t="s">
        <v>90</v>
      </c>
      <c r="D26" s="6" t="s">
        <v>445</v>
      </c>
      <c r="E26" s="6" t="s">
        <v>359</v>
      </c>
      <c r="F26" s="6" t="s">
        <v>446</v>
      </c>
      <c r="G26" s="6" t="s">
        <v>447</v>
      </c>
      <c r="H26" s="6" t="s">
        <v>448</v>
      </c>
      <c r="I26" s="6" t="s">
        <v>449</v>
      </c>
      <c r="J26" s="6" t="s">
        <v>450</v>
      </c>
      <c r="K26" s="6" t="s">
        <v>95</v>
      </c>
      <c r="L26" s="6" t="s">
        <v>371</v>
      </c>
    </row>
    <row r="27" customFormat="false" ht="23.85" hidden="false" customHeight="false" outlineLevel="0" collapsed="false">
      <c r="A27" s="6" t="s">
        <v>88</v>
      </c>
      <c r="B27" s="6" t="s">
        <v>89</v>
      </c>
      <c r="C27" s="6" t="s">
        <v>90</v>
      </c>
      <c r="D27" s="6" t="s">
        <v>451</v>
      </c>
      <c r="E27" s="6" t="s">
        <v>359</v>
      </c>
      <c r="F27" s="6" t="s">
        <v>446</v>
      </c>
      <c r="G27" s="6" t="s">
        <v>452</v>
      </c>
      <c r="H27" s="6" t="s">
        <v>368</v>
      </c>
      <c r="I27" s="6" t="s">
        <v>453</v>
      </c>
      <c r="J27" s="6" t="s">
        <v>450</v>
      </c>
      <c r="K27" s="6" t="s">
        <v>419</v>
      </c>
      <c r="L27" s="6" t="s">
        <v>371</v>
      </c>
    </row>
    <row r="28" customFormat="false" ht="23.85" hidden="false" customHeight="false" outlineLevel="0" collapsed="false">
      <c r="A28" s="6" t="s">
        <v>88</v>
      </c>
      <c r="B28" s="6" t="s">
        <v>89</v>
      </c>
      <c r="C28" s="6" t="s">
        <v>90</v>
      </c>
      <c r="D28" s="6" t="s">
        <v>454</v>
      </c>
      <c r="E28" s="6" t="s">
        <v>359</v>
      </c>
      <c r="F28" s="6" t="s">
        <v>446</v>
      </c>
      <c r="G28" s="6" t="s">
        <v>455</v>
      </c>
      <c r="H28" s="6" t="s">
        <v>368</v>
      </c>
      <c r="I28" s="6" t="s">
        <v>456</v>
      </c>
      <c r="J28" s="6" t="s">
        <v>450</v>
      </c>
      <c r="K28" s="6" t="s">
        <v>365</v>
      </c>
      <c r="L28" s="6" t="s">
        <v>371</v>
      </c>
    </row>
    <row r="29" customFormat="false" ht="15" hidden="false" customHeight="false" outlineLevel="0" collapsed="false">
      <c r="A29" s="6" t="s">
        <v>88</v>
      </c>
      <c r="B29" s="6" t="s">
        <v>89</v>
      </c>
      <c r="C29" s="6" t="s">
        <v>90</v>
      </c>
      <c r="D29" s="6" t="s">
        <v>457</v>
      </c>
      <c r="E29" s="6" t="s">
        <v>359</v>
      </c>
      <c r="F29" s="6" t="s">
        <v>446</v>
      </c>
      <c r="G29" s="6" t="s">
        <v>458</v>
      </c>
      <c r="H29" s="6" t="s">
        <v>368</v>
      </c>
      <c r="I29" s="6" t="s">
        <v>459</v>
      </c>
      <c r="J29" s="6" t="s">
        <v>460</v>
      </c>
      <c r="K29" s="6" t="s">
        <v>365</v>
      </c>
      <c r="L29" s="6" t="s">
        <v>371</v>
      </c>
    </row>
    <row r="30" customFormat="false" ht="15" hidden="false" customHeight="false" outlineLevel="0" collapsed="false">
      <c r="A30" s="6" t="s">
        <v>88</v>
      </c>
      <c r="B30" s="6" t="s">
        <v>89</v>
      </c>
      <c r="C30" s="6" t="s">
        <v>90</v>
      </c>
      <c r="D30" s="6" t="s">
        <v>461</v>
      </c>
      <c r="E30" s="6" t="s">
        <v>359</v>
      </c>
      <c r="F30" s="6" t="s">
        <v>462</v>
      </c>
      <c r="G30" s="6" t="s">
        <v>463</v>
      </c>
      <c r="H30" s="6" t="s">
        <v>448</v>
      </c>
      <c r="I30" s="6" t="s">
        <v>464</v>
      </c>
      <c r="J30" s="6" t="s">
        <v>465</v>
      </c>
      <c r="K30" s="6" t="s">
        <v>61</v>
      </c>
      <c r="L30" s="6" t="s">
        <v>371</v>
      </c>
    </row>
    <row r="31" customFormat="false" ht="23.85" hidden="false" customHeight="false" outlineLevel="0" collapsed="false">
      <c r="A31" s="6" t="s">
        <v>88</v>
      </c>
      <c r="B31" s="6" t="s">
        <v>89</v>
      </c>
      <c r="C31" s="6" t="s">
        <v>90</v>
      </c>
      <c r="D31" s="6" t="s">
        <v>466</v>
      </c>
      <c r="E31" s="6" t="s">
        <v>359</v>
      </c>
      <c r="F31" s="6" t="s">
        <v>467</v>
      </c>
      <c r="G31" s="6" t="s">
        <v>468</v>
      </c>
      <c r="H31" s="6" t="s">
        <v>368</v>
      </c>
      <c r="I31" s="6" t="s">
        <v>469</v>
      </c>
      <c r="J31" s="6" t="s">
        <v>444</v>
      </c>
      <c r="K31" s="6" t="s">
        <v>38</v>
      </c>
      <c r="L31" s="6" t="s">
        <v>371</v>
      </c>
    </row>
    <row r="32" customFormat="false" ht="15" hidden="false" customHeight="false" outlineLevel="0" collapsed="false">
      <c r="A32" s="6" t="s">
        <v>88</v>
      </c>
      <c r="B32" s="6" t="s">
        <v>89</v>
      </c>
      <c r="C32" s="6" t="s">
        <v>90</v>
      </c>
      <c r="D32" s="6" t="s">
        <v>470</v>
      </c>
      <c r="E32" s="6" t="s">
        <v>359</v>
      </c>
      <c r="F32" s="6" t="s">
        <v>471</v>
      </c>
      <c r="G32" s="6" t="s">
        <v>472</v>
      </c>
      <c r="H32" s="6" t="s">
        <v>385</v>
      </c>
      <c r="I32" s="6" t="s">
        <v>473</v>
      </c>
      <c r="J32" s="6" t="s">
        <v>364</v>
      </c>
      <c r="K32" s="6" t="s">
        <v>365</v>
      </c>
      <c r="L32" s="6" t="s">
        <v>371</v>
      </c>
    </row>
    <row r="33" customFormat="false" ht="15" hidden="false" customHeight="false" outlineLevel="0" collapsed="false">
      <c r="A33" s="6" t="s">
        <v>88</v>
      </c>
      <c r="B33" s="6" t="s">
        <v>89</v>
      </c>
      <c r="C33" s="6" t="s">
        <v>90</v>
      </c>
      <c r="D33" s="6" t="s">
        <v>474</v>
      </c>
      <c r="E33" s="6" t="s">
        <v>359</v>
      </c>
      <c r="F33" s="6" t="s">
        <v>475</v>
      </c>
      <c r="G33" s="6" t="s">
        <v>476</v>
      </c>
      <c r="H33" s="6" t="s">
        <v>368</v>
      </c>
      <c r="I33" s="6" t="s">
        <v>477</v>
      </c>
      <c r="J33" s="6" t="s">
        <v>444</v>
      </c>
      <c r="K33" s="6" t="s">
        <v>365</v>
      </c>
      <c r="L33" s="6" t="s">
        <v>371</v>
      </c>
    </row>
    <row r="34" customFormat="false" ht="23.85" hidden="false" customHeight="false" outlineLevel="0" collapsed="false">
      <c r="A34" s="6" t="s">
        <v>88</v>
      </c>
      <c r="B34" s="6" t="s">
        <v>89</v>
      </c>
      <c r="C34" s="6" t="s">
        <v>90</v>
      </c>
      <c r="D34" s="6" t="s">
        <v>478</v>
      </c>
      <c r="E34" s="6" t="s">
        <v>359</v>
      </c>
      <c r="F34" s="6" t="s">
        <v>462</v>
      </c>
      <c r="G34" s="6" t="s">
        <v>479</v>
      </c>
      <c r="H34" s="6" t="s">
        <v>362</v>
      </c>
      <c r="I34" s="6" t="s">
        <v>480</v>
      </c>
      <c r="J34" s="6" t="s">
        <v>481</v>
      </c>
      <c r="K34" s="6" t="s">
        <v>482</v>
      </c>
      <c r="L34" s="6" t="s">
        <v>371</v>
      </c>
    </row>
    <row r="35" customFormat="false" ht="15" hidden="false" customHeight="false" outlineLevel="0" collapsed="false">
      <c r="A35" s="6" t="s">
        <v>88</v>
      </c>
      <c r="B35" s="6" t="s">
        <v>89</v>
      </c>
      <c r="C35" s="6" t="s">
        <v>90</v>
      </c>
      <c r="D35" s="6" t="s">
        <v>483</v>
      </c>
      <c r="E35" s="6" t="s">
        <v>359</v>
      </c>
      <c r="F35" s="6" t="s">
        <v>484</v>
      </c>
      <c r="G35" s="6" t="s">
        <v>485</v>
      </c>
      <c r="H35" s="6" t="s">
        <v>362</v>
      </c>
      <c r="I35" s="6" t="s">
        <v>486</v>
      </c>
      <c r="J35" s="6" t="s">
        <v>465</v>
      </c>
      <c r="K35" s="6" t="s">
        <v>365</v>
      </c>
      <c r="L35" s="6" t="s">
        <v>371</v>
      </c>
    </row>
    <row r="36" customFormat="false" ht="23.85" hidden="false" customHeight="false" outlineLevel="0" collapsed="false">
      <c r="A36" s="6" t="s">
        <v>88</v>
      </c>
      <c r="B36" s="6" t="s">
        <v>89</v>
      </c>
      <c r="C36" s="6" t="s">
        <v>90</v>
      </c>
      <c r="D36" s="6" t="s">
        <v>487</v>
      </c>
      <c r="E36" s="6" t="s">
        <v>382</v>
      </c>
      <c r="F36" s="6" t="s">
        <v>488</v>
      </c>
      <c r="G36" s="6" t="s">
        <v>489</v>
      </c>
      <c r="H36" s="6" t="s">
        <v>368</v>
      </c>
      <c r="I36" s="6" t="s">
        <v>490</v>
      </c>
      <c r="J36" s="6" t="s">
        <v>491</v>
      </c>
      <c r="K36" s="6" t="s">
        <v>365</v>
      </c>
      <c r="L36" s="6" t="s">
        <v>492</v>
      </c>
    </row>
    <row r="37" customFormat="false" ht="23.85" hidden="false" customHeight="false" outlineLevel="0" collapsed="false">
      <c r="A37" s="6" t="s">
        <v>88</v>
      </c>
      <c r="B37" s="6" t="s">
        <v>89</v>
      </c>
      <c r="C37" s="6" t="s">
        <v>90</v>
      </c>
      <c r="D37" s="6" t="s">
        <v>493</v>
      </c>
      <c r="E37" s="6" t="s">
        <v>359</v>
      </c>
      <c r="F37" s="6" t="s">
        <v>494</v>
      </c>
      <c r="G37" s="6" t="s">
        <v>495</v>
      </c>
      <c r="H37" s="6" t="s">
        <v>368</v>
      </c>
      <c r="I37" s="6" t="s">
        <v>496</v>
      </c>
      <c r="J37" s="6" t="s">
        <v>497</v>
      </c>
      <c r="K37" s="6" t="s">
        <v>498</v>
      </c>
      <c r="L37" s="6" t="s">
        <v>371</v>
      </c>
    </row>
    <row r="38" customFormat="false" ht="23.85" hidden="false" customHeight="false" outlineLevel="0" collapsed="false">
      <c r="A38" s="6" t="s">
        <v>88</v>
      </c>
      <c r="B38" s="6" t="s">
        <v>89</v>
      </c>
      <c r="C38" s="6" t="s">
        <v>90</v>
      </c>
      <c r="D38" s="6" t="s">
        <v>499</v>
      </c>
      <c r="E38" s="6" t="s">
        <v>359</v>
      </c>
      <c r="F38" s="6" t="s">
        <v>446</v>
      </c>
      <c r="G38" s="6" t="s">
        <v>500</v>
      </c>
      <c r="H38" s="6" t="s">
        <v>362</v>
      </c>
      <c r="I38" s="6" t="s">
        <v>501</v>
      </c>
      <c r="J38" s="6" t="s">
        <v>460</v>
      </c>
      <c r="K38" s="6" t="s">
        <v>199</v>
      </c>
      <c r="L38" s="6" t="s">
        <v>371</v>
      </c>
    </row>
    <row r="39" customFormat="false" ht="15" hidden="false" customHeight="false" outlineLevel="0" collapsed="false">
      <c r="A39" s="6" t="s">
        <v>88</v>
      </c>
      <c r="B39" s="6" t="s">
        <v>89</v>
      </c>
      <c r="C39" s="6" t="s">
        <v>90</v>
      </c>
      <c r="D39" s="6" t="s">
        <v>502</v>
      </c>
      <c r="E39" s="6" t="s">
        <v>359</v>
      </c>
      <c r="F39" s="6" t="s">
        <v>462</v>
      </c>
      <c r="G39" s="6" t="s">
        <v>503</v>
      </c>
      <c r="H39" s="6" t="s">
        <v>448</v>
      </c>
      <c r="I39" s="6" t="s">
        <v>504</v>
      </c>
      <c r="J39" s="6" t="s">
        <v>465</v>
      </c>
      <c r="K39" s="6" t="s">
        <v>61</v>
      </c>
      <c r="L39" s="6" t="s">
        <v>371</v>
      </c>
    </row>
    <row r="40" customFormat="false" ht="15" hidden="false" customHeight="false" outlineLevel="0" collapsed="false">
      <c r="A40" s="6" t="s">
        <v>88</v>
      </c>
      <c r="B40" s="6" t="s">
        <v>89</v>
      </c>
      <c r="C40" s="6" t="s">
        <v>90</v>
      </c>
      <c r="D40" s="6" t="s">
        <v>505</v>
      </c>
      <c r="E40" s="6" t="s">
        <v>359</v>
      </c>
      <c r="F40" s="6" t="s">
        <v>467</v>
      </c>
      <c r="G40" s="6" t="s">
        <v>506</v>
      </c>
      <c r="H40" s="6" t="s">
        <v>368</v>
      </c>
      <c r="I40" s="6" t="s">
        <v>507</v>
      </c>
      <c r="J40" s="6" t="s">
        <v>444</v>
      </c>
      <c r="K40" s="6" t="s">
        <v>38</v>
      </c>
      <c r="L40" s="6" t="s">
        <v>371</v>
      </c>
    </row>
    <row r="41" customFormat="false" ht="15" hidden="false" customHeight="false" outlineLevel="0" collapsed="false">
      <c r="A41" s="6" t="s">
        <v>88</v>
      </c>
      <c r="B41" s="6" t="s">
        <v>89</v>
      </c>
      <c r="C41" s="6" t="s">
        <v>90</v>
      </c>
      <c r="D41" s="6" t="s">
        <v>508</v>
      </c>
      <c r="E41" s="6" t="s">
        <v>359</v>
      </c>
      <c r="F41" s="6" t="s">
        <v>467</v>
      </c>
      <c r="G41" s="6" t="s">
        <v>509</v>
      </c>
      <c r="H41" s="6" t="s">
        <v>368</v>
      </c>
      <c r="I41" s="6" t="s">
        <v>510</v>
      </c>
      <c r="J41" s="6" t="s">
        <v>444</v>
      </c>
      <c r="K41" s="6" t="s">
        <v>38</v>
      </c>
      <c r="L41" s="6" t="s">
        <v>371</v>
      </c>
    </row>
    <row r="42" customFormat="false" ht="23.85" hidden="false" customHeight="false" outlineLevel="0" collapsed="false">
      <c r="A42" s="6" t="s">
        <v>103</v>
      </c>
      <c r="B42" s="6" t="s">
        <v>104</v>
      </c>
      <c r="C42" s="6" t="s">
        <v>90</v>
      </c>
      <c r="D42" s="6" t="s">
        <v>511</v>
      </c>
      <c r="E42" s="6" t="s">
        <v>376</v>
      </c>
      <c r="F42" s="6" t="s">
        <v>512</v>
      </c>
      <c r="G42" s="6" t="s">
        <v>513</v>
      </c>
      <c r="H42" s="6" t="s">
        <v>448</v>
      </c>
      <c r="I42" s="6" t="s">
        <v>514</v>
      </c>
      <c r="J42" s="6" t="s">
        <v>364</v>
      </c>
      <c r="K42" s="6" t="s">
        <v>199</v>
      </c>
      <c r="L42" s="6" t="s">
        <v>515</v>
      </c>
    </row>
    <row r="43" customFormat="false" ht="23.85" hidden="false" customHeight="false" outlineLevel="0" collapsed="false">
      <c r="A43" s="6" t="s">
        <v>103</v>
      </c>
      <c r="B43" s="6" t="s">
        <v>104</v>
      </c>
      <c r="C43" s="6" t="s">
        <v>90</v>
      </c>
      <c r="D43" s="6" t="s">
        <v>516</v>
      </c>
      <c r="E43" s="6" t="s">
        <v>376</v>
      </c>
      <c r="F43" s="6" t="s">
        <v>512</v>
      </c>
      <c r="G43" s="6" t="s">
        <v>517</v>
      </c>
      <c r="H43" s="6" t="s">
        <v>448</v>
      </c>
      <c r="I43" s="6" t="s">
        <v>514</v>
      </c>
      <c r="J43" s="6" t="s">
        <v>364</v>
      </c>
      <c r="K43" s="6" t="s">
        <v>95</v>
      </c>
      <c r="L43" s="6" t="s">
        <v>380</v>
      </c>
    </row>
    <row r="44" customFormat="false" ht="23.85" hidden="false" customHeight="false" outlineLevel="0" collapsed="false">
      <c r="A44" s="6" t="s">
        <v>103</v>
      </c>
      <c r="B44" s="6" t="s">
        <v>104</v>
      </c>
      <c r="C44" s="6" t="s">
        <v>90</v>
      </c>
      <c r="D44" s="6" t="s">
        <v>518</v>
      </c>
      <c r="E44" s="6" t="s">
        <v>376</v>
      </c>
      <c r="F44" s="6" t="s">
        <v>512</v>
      </c>
      <c r="G44" s="6" t="s">
        <v>519</v>
      </c>
      <c r="H44" s="6" t="s">
        <v>362</v>
      </c>
      <c r="I44" s="6" t="s">
        <v>520</v>
      </c>
      <c r="J44" s="6" t="s">
        <v>364</v>
      </c>
      <c r="K44" s="6" t="s">
        <v>95</v>
      </c>
      <c r="L44" s="6" t="s">
        <v>380</v>
      </c>
    </row>
    <row r="45" customFormat="false" ht="23.85" hidden="false" customHeight="false" outlineLevel="0" collapsed="false">
      <c r="A45" s="6" t="s">
        <v>103</v>
      </c>
      <c r="B45" s="6" t="s">
        <v>104</v>
      </c>
      <c r="C45" s="6" t="s">
        <v>90</v>
      </c>
      <c r="D45" s="6" t="s">
        <v>521</v>
      </c>
      <c r="E45" s="6" t="s">
        <v>376</v>
      </c>
      <c r="F45" s="6" t="s">
        <v>512</v>
      </c>
      <c r="G45" s="6" t="s">
        <v>522</v>
      </c>
      <c r="H45" s="6" t="s">
        <v>385</v>
      </c>
      <c r="I45" s="6" t="s">
        <v>523</v>
      </c>
      <c r="J45" s="6" t="s">
        <v>364</v>
      </c>
      <c r="K45" s="6" t="s">
        <v>365</v>
      </c>
      <c r="L45" s="6" t="s">
        <v>380</v>
      </c>
    </row>
    <row r="46" customFormat="false" ht="23.85" hidden="false" customHeight="false" outlineLevel="0" collapsed="false">
      <c r="A46" s="6" t="s">
        <v>103</v>
      </c>
      <c r="B46" s="6" t="s">
        <v>104</v>
      </c>
      <c r="C46" s="6" t="s">
        <v>90</v>
      </c>
      <c r="D46" s="6" t="s">
        <v>375</v>
      </c>
      <c r="E46" s="6" t="s">
        <v>376</v>
      </c>
      <c r="F46" s="6" t="s">
        <v>377</v>
      </c>
      <c r="G46" s="6" t="s">
        <v>378</v>
      </c>
      <c r="H46" s="6" t="s">
        <v>338</v>
      </c>
      <c r="I46" s="6" t="s">
        <v>379</v>
      </c>
      <c r="J46" s="6" t="s">
        <v>364</v>
      </c>
      <c r="K46" s="6" t="s">
        <v>125</v>
      </c>
      <c r="L46" s="6" t="s">
        <v>380</v>
      </c>
    </row>
    <row r="47" customFormat="false" ht="23.85" hidden="false" customHeight="false" outlineLevel="0" collapsed="false">
      <c r="A47" s="6" t="s">
        <v>103</v>
      </c>
      <c r="B47" s="6" t="s">
        <v>104</v>
      </c>
      <c r="C47" s="6" t="s">
        <v>90</v>
      </c>
      <c r="D47" s="6" t="s">
        <v>524</v>
      </c>
      <c r="E47" s="6" t="s">
        <v>376</v>
      </c>
      <c r="F47" s="6" t="s">
        <v>377</v>
      </c>
      <c r="G47" s="6" t="s">
        <v>525</v>
      </c>
      <c r="H47" s="6" t="s">
        <v>385</v>
      </c>
      <c r="I47" s="6" t="s">
        <v>379</v>
      </c>
      <c r="J47" s="6" t="s">
        <v>364</v>
      </c>
      <c r="K47" s="6" t="s">
        <v>365</v>
      </c>
      <c r="L47" s="6" t="s">
        <v>380</v>
      </c>
    </row>
    <row r="48" customFormat="false" ht="23.85" hidden="false" customHeight="false" outlineLevel="0" collapsed="false">
      <c r="A48" s="6" t="s">
        <v>103</v>
      </c>
      <c r="B48" s="6" t="s">
        <v>104</v>
      </c>
      <c r="C48" s="6" t="s">
        <v>90</v>
      </c>
      <c r="D48" s="6" t="s">
        <v>526</v>
      </c>
      <c r="E48" s="6" t="s">
        <v>376</v>
      </c>
      <c r="F48" s="6" t="s">
        <v>377</v>
      </c>
      <c r="G48" s="6" t="s">
        <v>527</v>
      </c>
      <c r="H48" s="6" t="s">
        <v>385</v>
      </c>
      <c r="I48" s="6" t="s">
        <v>528</v>
      </c>
      <c r="J48" s="6" t="s">
        <v>364</v>
      </c>
      <c r="K48" s="6" t="s">
        <v>365</v>
      </c>
      <c r="L48" s="6" t="s">
        <v>380</v>
      </c>
    </row>
    <row r="49" customFormat="false" ht="23.85" hidden="false" customHeight="false" outlineLevel="0" collapsed="false">
      <c r="A49" s="6" t="s">
        <v>103</v>
      </c>
      <c r="B49" s="6" t="s">
        <v>104</v>
      </c>
      <c r="C49" s="6" t="s">
        <v>90</v>
      </c>
      <c r="D49" s="6" t="s">
        <v>529</v>
      </c>
      <c r="E49" s="6" t="s">
        <v>376</v>
      </c>
      <c r="F49" s="6" t="s">
        <v>530</v>
      </c>
      <c r="G49" s="6" t="s">
        <v>531</v>
      </c>
      <c r="H49" s="6" t="s">
        <v>368</v>
      </c>
      <c r="I49" s="6" t="s">
        <v>532</v>
      </c>
      <c r="J49" s="6" t="s">
        <v>364</v>
      </c>
      <c r="K49" s="6" t="s">
        <v>125</v>
      </c>
      <c r="L49" s="6" t="s">
        <v>380</v>
      </c>
    </row>
    <row r="50" customFormat="false" ht="23.85" hidden="false" customHeight="false" outlineLevel="0" collapsed="false">
      <c r="A50" s="6" t="s">
        <v>103</v>
      </c>
      <c r="B50" s="6" t="s">
        <v>104</v>
      </c>
      <c r="C50" s="6" t="s">
        <v>90</v>
      </c>
      <c r="D50" s="6" t="s">
        <v>533</v>
      </c>
      <c r="E50" s="6" t="s">
        <v>376</v>
      </c>
      <c r="F50" s="6" t="s">
        <v>530</v>
      </c>
      <c r="G50" s="6" t="s">
        <v>534</v>
      </c>
      <c r="H50" s="6" t="s">
        <v>362</v>
      </c>
      <c r="I50" s="6" t="s">
        <v>532</v>
      </c>
      <c r="J50" s="6" t="s">
        <v>364</v>
      </c>
      <c r="K50" s="6" t="s">
        <v>125</v>
      </c>
      <c r="L50" s="6" t="s">
        <v>380</v>
      </c>
    </row>
    <row r="51" customFormat="false" ht="23.85" hidden="false" customHeight="false" outlineLevel="0" collapsed="false">
      <c r="A51" s="6" t="s">
        <v>103</v>
      </c>
      <c r="B51" s="6" t="s">
        <v>104</v>
      </c>
      <c r="C51" s="6" t="s">
        <v>90</v>
      </c>
      <c r="D51" s="6" t="s">
        <v>535</v>
      </c>
      <c r="E51" s="6" t="s">
        <v>376</v>
      </c>
      <c r="F51" s="6" t="s">
        <v>536</v>
      </c>
      <c r="G51" s="6" t="s">
        <v>537</v>
      </c>
      <c r="H51" s="6" t="s">
        <v>368</v>
      </c>
      <c r="I51" s="6" t="s">
        <v>538</v>
      </c>
      <c r="J51" s="6" t="s">
        <v>364</v>
      </c>
      <c r="K51" s="6" t="s">
        <v>95</v>
      </c>
      <c r="L51" s="6" t="s">
        <v>380</v>
      </c>
    </row>
    <row r="52" customFormat="false" ht="23.85" hidden="false" customHeight="false" outlineLevel="0" collapsed="false">
      <c r="A52" s="6" t="s">
        <v>103</v>
      </c>
      <c r="B52" s="6" t="s">
        <v>104</v>
      </c>
      <c r="C52" s="6" t="s">
        <v>90</v>
      </c>
      <c r="D52" s="6" t="s">
        <v>539</v>
      </c>
      <c r="E52" s="6" t="s">
        <v>376</v>
      </c>
      <c r="F52" s="6" t="s">
        <v>536</v>
      </c>
      <c r="G52" s="6" t="s">
        <v>540</v>
      </c>
      <c r="H52" s="6" t="s">
        <v>368</v>
      </c>
      <c r="I52" s="6" t="s">
        <v>541</v>
      </c>
      <c r="J52" s="6" t="s">
        <v>364</v>
      </c>
      <c r="K52" s="6" t="s">
        <v>95</v>
      </c>
      <c r="L52" s="6" t="s">
        <v>380</v>
      </c>
    </row>
    <row r="53" customFormat="false" ht="23.85" hidden="false" customHeight="false" outlineLevel="0" collapsed="false">
      <c r="A53" s="6" t="s">
        <v>103</v>
      </c>
      <c r="B53" s="6" t="s">
        <v>104</v>
      </c>
      <c r="C53" s="6" t="s">
        <v>90</v>
      </c>
      <c r="D53" s="6" t="s">
        <v>542</v>
      </c>
      <c r="E53" s="6" t="s">
        <v>376</v>
      </c>
      <c r="F53" s="6" t="s">
        <v>543</v>
      </c>
      <c r="G53" s="6" t="s">
        <v>544</v>
      </c>
      <c r="H53" s="6" t="s">
        <v>368</v>
      </c>
      <c r="I53" s="6" t="s">
        <v>543</v>
      </c>
      <c r="J53" s="6" t="s">
        <v>364</v>
      </c>
      <c r="K53" s="6" t="s">
        <v>545</v>
      </c>
      <c r="L53" s="6" t="s">
        <v>380</v>
      </c>
    </row>
    <row r="54" customFormat="false" ht="23.85" hidden="false" customHeight="false" outlineLevel="0" collapsed="false">
      <c r="A54" s="6" t="s">
        <v>103</v>
      </c>
      <c r="B54" s="6" t="s">
        <v>104</v>
      </c>
      <c r="C54" s="6" t="s">
        <v>90</v>
      </c>
      <c r="D54" s="6" t="s">
        <v>546</v>
      </c>
      <c r="E54" s="6" t="s">
        <v>376</v>
      </c>
      <c r="F54" s="6" t="s">
        <v>547</v>
      </c>
      <c r="G54" s="6" t="s">
        <v>548</v>
      </c>
      <c r="H54" s="6" t="s">
        <v>338</v>
      </c>
      <c r="I54" s="6" t="s">
        <v>549</v>
      </c>
      <c r="J54" s="6" t="s">
        <v>364</v>
      </c>
      <c r="K54" s="6" t="s">
        <v>365</v>
      </c>
      <c r="L54" s="6" t="s">
        <v>550</v>
      </c>
    </row>
    <row r="55" customFormat="false" ht="23.85" hidden="false" customHeight="false" outlineLevel="0" collapsed="false">
      <c r="A55" s="6" t="s">
        <v>103</v>
      </c>
      <c r="B55" s="6" t="s">
        <v>104</v>
      </c>
      <c r="C55" s="6" t="s">
        <v>90</v>
      </c>
      <c r="D55" s="6" t="s">
        <v>551</v>
      </c>
      <c r="E55" s="6" t="s">
        <v>376</v>
      </c>
      <c r="F55" s="6" t="s">
        <v>552</v>
      </c>
      <c r="G55" s="6" t="s">
        <v>553</v>
      </c>
      <c r="H55" s="6" t="s">
        <v>448</v>
      </c>
      <c r="I55" s="6" t="s">
        <v>554</v>
      </c>
      <c r="J55" s="6" t="s">
        <v>555</v>
      </c>
      <c r="K55" s="6" t="s">
        <v>61</v>
      </c>
      <c r="L55" s="6" t="s">
        <v>380</v>
      </c>
    </row>
    <row r="56" customFormat="false" ht="23.85" hidden="false" customHeight="false" outlineLevel="0" collapsed="false">
      <c r="A56" s="6" t="s">
        <v>103</v>
      </c>
      <c r="B56" s="6" t="s">
        <v>104</v>
      </c>
      <c r="C56" s="6" t="s">
        <v>90</v>
      </c>
      <c r="D56" s="6" t="s">
        <v>556</v>
      </c>
      <c r="E56" s="6" t="s">
        <v>376</v>
      </c>
      <c r="F56" s="6" t="s">
        <v>557</v>
      </c>
      <c r="G56" s="6" t="s">
        <v>558</v>
      </c>
      <c r="H56" s="6" t="s">
        <v>448</v>
      </c>
      <c r="I56" s="6" t="s">
        <v>559</v>
      </c>
      <c r="J56" s="6" t="s">
        <v>364</v>
      </c>
      <c r="K56" s="6" t="s">
        <v>365</v>
      </c>
      <c r="L56" s="6" t="s">
        <v>380</v>
      </c>
    </row>
    <row r="57" customFormat="false" ht="23.85" hidden="false" customHeight="false" outlineLevel="0" collapsed="false">
      <c r="A57" s="6" t="s">
        <v>103</v>
      </c>
      <c r="B57" s="6" t="s">
        <v>104</v>
      </c>
      <c r="C57" s="6" t="s">
        <v>90</v>
      </c>
      <c r="D57" s="6" t="s">
        <v>560</v>
      </c>
      <c r="E57" s="6" t="s">
        <v>376</v>
      </c>
      <c r="F57" s="6" t="s">
        <v>377</v>
      </c>
      <c r="G57" s="6" t="s">
        <v>561</v>
      </c>
      <c r="H57" s="6" t="s">
        <v>368</v>
      </c>
      <c r="I57" s="6" t="s">
        <v>562</v>
      </c>
      <c r="J57" s="6" t="s">
        <v>364</v>
      </c>
      <c r="K57" s="6" t="s">
        <v>38</v>
      </c>
      <c r="L57" s="6" t="s">
        <v>380</v>
      </c>
    </row>
    <row r="58" customFormat="false" ht="23.85" hidden="false" customHeight="false" outlineLevel="0" collapsed="false">
      <c r="A58" s="6" t="s">
        <v>103</v>
      </c>
      <c r="B58" s="6" t="s">
        <v>104</v>
      </c>
      <c r="C58" s="6" t="s">
        <v>90</v>
      </c>
      <c r="D58" s="6" t="s">
        <v>563</v>
      </c>
      <c r="E58" s="6" t="s">
        <v>376</v>
      </c>
      <c r="F58" s="6" t="s">
        <v>530</v>
      </c>
      <c r="G58" s="6" t="s">
        <v>564</v>
      </c>
      <c r="H58" s="6" t="s">
        <v>565</v>
      </c>
      <c r="I58" s="6" t="s">
        <v>532</v>
      </c>
      <c r="J58" s="6" t="s">
        <v>364</v>
      </c>
      <c r="K58" s="6" t="s">
        <v>125</v>
      </c>
      <c r="L58" s="6" t="s">
        <v>380</v>
      </c>
    </row>
    <row r="59" customFormat="false" ht="23.85" hidden="false" customHeight="false" outlineLevel="0" collapsed="false">
      <c r="A59" s="6" t="s">
        <v>103</v>
      </c>
      <c r="B59" s="6" t="s">
        <v>104</v>
      </c>
      <c r="C59" s="6" t="s">
        <v>90</v>
      </c>
      <c r="D59" s="6" t="s">
        <v>566</v>
      </c>
      <c r="E59" s="6" t="s">
        <v>376</v>
      </c>
      <c r="F59" s="6" t="s">
        <v>536</v>
      </c>
      <c r="G59" s="6" t="s">
        <v>567</v>
      </c>
      <c r="H59" s="6" t="s">
        <v>385</v>
      </c>
      <c r="I59" s="6" t="s">
        <v>568</v>
      </c>
      <c r="J59" s="6" t="s">
        <v>364</v>
      </c>
      <c r="K59" s="6" t="s">
        <v>365</v>
      </c>
      <c r="L59" s="6" t="s">
        <v>380</v>
      </c>
    </row>
    <row r="60" customFormat="false" ht="23.85" hidden="false" customHeight="false" outlineLevel="0" collapsed="false">
      <c r="A60" s="6" t="s">
        <v>103</v>
      </c>
      <c r="B60" s="6" t="s">
        <v>104</v>
      </c>
      <c r="C60" s="6" t="s">
        <v>90</v>
      </c>
      <c r="D60" s="6" t="s">
        <v>569</v>
      </c>
      <c r="E60" s="6" t="s">
        <v>376</v>
      </c>
      <c r="F60" s="6" t="s">
        <v>570</v>
      </c>
      <c r="G60" s="6" t="s">
        <v>571</v>
      </c>
      <c r="H60" s="6" t="s">
        <v>565</v>
      </c>
      <c r="I60" s="6" t="s">
        <v>572</v>
      </c>
      <c r="J60" s="6" t="s">
        <v>364</v>
      </c>
      <c r="K60" s="6" t="s">
        <v>125</v>
      </c>
      <c r="L60" s="6" t="s">
        <v>380</v>
      </c>
    </row>
    <row r="61" customFormat="false" ht="23.85" hidden="false" customHeight="false" outlineLevel="0" collapsed="false">
      <c r="A61" s="6" t="s">
        <v>103</v>
      </c>
      <c r="B61" s="6" t="s">
        <v>104</v>
      </c>
      <c r="C61" s="6" t="s">
        <v>90</v>
      </c>
      <c r="D61" s="6" t="s">
        <v>573</v>
      </c>
      <c r="E61" s="6" t="s">
        <v>376</v>
      </c>
      <c r="F61" s="6" t="s">
        <v>570</v>
      </c>
      <c r="G61" s="6" t="s">
        <v>574</v>
      </c>
      <c r="H61" s="6" t="s">
        <v>362</v>
      </c>
      <c r="I61" s="6" t="s">
        <v>575</v>
      </c>
      <c r="J61" s="6" t="s">
        <v>364</v>
      </c>
      <c r="K61" s="6" t="s">
        <v>61</v>
      </c>
      <c r="L61" s="6" t="s">
        <v>380</v>
      </c>
    </row>
    <row r="62" customFormat="false" ht="23.85" hidden="false" customHeight="false" outlineLevel="0" collapsed="false">
      <c r="A62" s="6" t="s">
        <v>103</v>
      </c>
      <c r="B62" s="6" t="s">
        <v>104</v>
      </c>
      <c r="C62" s="6" t="s">
        <v>90</v>
      </c>
      <c r="D62" s="6" t="s">
        <v>576</v>
      </c>
      <c r="E62" s="6" t="s">
        <v>376</v>
      </c>
      <c r="F62" s="6" t="s">
        <v>577</v>
      </c>
      <c r="G62" s="6" t="s">
        <v>578</v>
      </c>
      <c r="H62" s="6" t="s">
        <v>368</v>
      </c>
      <c r="I62" s="6" t="s">
        <v>579</v>
      </c>
      <c r="J62" s="6" t="s">
        <v>364</v>
      </c>
      <c r="K62" s="6" t="s">
        <v>38</v>
      </c>
      <c r="L62" s="6" t="s">
        <v>380</v>
      </c>
    </row>
    <row r="63" customFormat="false" ht="23.85" hidden="false" customHeight="false" outlineLevel="0" collapsed="false">
      <c r="A63" s="6" t="s">
        <v>114</v>
      </c>
      <c r="B63" s="6" t="s">
        <v>115</v>
      </c>
      <c r="C63" s="6" t="s">
        <v>90</v>
      </c>
      <c r="D63" s="6" t="s">
        <v>580</v>
      </c>
      <c r="E63" s="6" t="s">
        <v>335</v>
      </c>
      <c r="F63" s="6" t="s">
        <v>581</v>
      </c>
      <c r="G63" s="6" t="s">
        <v>582</v>
      </c>
      <c r="H63" s="6" t="s">
        <v>338</v>
      </c>
      <c r="I63" s="6" t="s">
        <v>583</v>
      </c>
      <c r="J63" s="6" t="s">
        <v>584</v>
      </c>
      <c r="K63" s="6" t="s">
        <v>585</v>
      </c>
      <c r="L63" s="6" t="s">
        <v>586</v>
      </c>
    </row>
    <row r="64" customFormat="false" ht="23.85" hidden="false" customHeight="false" outlineLevel="0" collapsed="false">
      <c r="A64" s="6" t="s">
        <v>114</v>
      </c>
      <c r="B64" s="6" t="s">
        <v>115</v>
      </c>
      <c r="C64" s="6" t="s">
        <v>90</v>
      </c>
      <c r="D64" s="6" t="s">
        <v>587</v>
      </c>
      <c r="E64" s="6" t="s">
        <v>335</v>
      </c>
      <c r="F64" s="6" t="s">
        <v>588</v>
      </c>
      <c r="G64" s="6" t="s">
        <v>589</v>
      </c>
      <c r="H64" s="6" t="s">
        <v>448</v>
      </c>
      <c r="I64" s="6" t="s">
        <v>590</v>
      </c>
      <c r="J64" s="6" t="s">
        <v>340</v>
      </c>
      <c r="K64" s="6" t="s">
        <v>400</v>
      </c>
      <c r="L64" s="6" t="s">
        <v>591</v>
      </c>
    </row>
    <row r="65" customFormat="false" ht="23.85" hidden="false" customHeight="false" outlineLevel="0" collapsed="false">
      <c r="A65" s="6" t="s">
        <v>114</v>
      </c>
      <c r="B65" s="6" t="s">
        <v>115</v>
      </c>
      <c r="C65" s="6" t="s">
        <v>90</v>
      </c>
      <c r="D65" s="6" t="s">
        <v>592</v>
      </c>
      <c r="E65" s="6" t="s">
        <v>335</v>
      </c>
      <c r="F65" s="6" t="s">
        <v>588</v>
      </c>
      <c r="G65" s="6" t="s">
        <v>593</v>
      </c>
      <c r="H65" s="6" t="s">
        <v>448</v>
      </c>
      <c r="I65" s="6" t="s">
        <v>590</v>
      </c>
      <c r="J65" s="6" t="s">
        <v>340</v>
      </c>
      <c r="K65" s="6" t="s">
        <v>594</v>
      </c>
      <c r="L65" s="6" t="s">
        <v>595</v>
      </c>
    </row>
    <row r="66" customFormat="false" ht="23.85" hidden="false" customHeight="false" outlineLevel="0" collapsed="false">
      <c r="A66" s="6" t="s">
        <v>114</v>
      </c>
      <c r="B66" s="6" t="s">
        <v>115</v>
      </c>
      <c r="C66" s="6" t="s">
        <v>90</v>
      </c>
      <c r="D66" s="6" t="s">
        <v>596</v>
      </c>
      <c r="E66" s="6" t="s">
        <v>335</v>
      </c>
      <c r="F66" s="6" t="s">
        <v>597</v>
      </c>
      <c r="G66" s="6" t="s">
        <v>598</v>
      </c>
      <c r="H66" s="6" t="s">
        <v>338</v>
      </c>
      <c r="I66" s="6" t="s">
        <v>399</v>
      </c>
      <c r="J66" s="6" t="s">
        <v>340</v>
      </c>
      <c r="K66" s="6" t="s">
        <v>594</v>
      </c>
      <c r="L66" s="6" t="s">
        <v>599</v>
      </c>
    </row>
    <row r="67" customFormat="false" ht="23.85" hidden="false" customHeight="false" outlineLevel="0" collapsed="false">
      <c r="A67" s="6" t="s">
        <v>114</v>
      </c>
      <c r="B67" s="6" t="s">
        <v>115</v>
      </c>
      <c r="C67" s="6" t="s">
        <v>90</v>
      </c>
      <c r="D67" s="6" t="s">
        <v>600</v>
      </c>
      <c r="E67" s="6" t="s">
        <v>335</v>
      </c>
      <c r="F67" s="6" t="s">
        <v>601</v>
      </c>
      <c r="G67" s="6" t="s">
        <v>602</v>
      </c>
      <c r="H67" s="6" t="s">
        <v>338</v>
      </c>
      <c r="I67" s="6" t="s">
        <v>399</v>
      </c>
      <c r="J67" s="6" t="s">
        <v>340</v>
      </c>
      <c r="K67" s="6" t="s">
        <v>594</v>
      </c>
      <c r="L67" s="6" t="s">
        <v>595</v>
      </c>
    </row>
    <row r="68" customFormat="false" ht="35.05" hidden="false" customHeight="false" outlineLevel="0" collapsed="false">
      <c r="A68" s="6" t="s">
        <v>114</v>
      </c>
      <c r="B68" s="6" t="s">
        <v>115</v>
      </c>
      <c r="C68" s="6" t="s">
        <v>90</v>
      </c>
      <c r="D68" s="6" t="s">
        <v>603</v>
      </c>
      <c r="E68" s="6" t="s">
        <v>415</v>
      </c>
      <c r="F68" s="6" t="s">
        <v>604</v>
      </c>
      <c r="G68" s="6" t="s">
        <v>605</v>
      </c>
      <c r="H68" s="6" t="s">
        <v>338</v>
      </c>
      <c r="I68" s="6" t="s">
        <v>606</v>
      </c>
      <c r="J68" s="6" t="s">
        <v>340</v>
      </c>
      <c r="K68" s="6" t="s">
        <v>365</v>
      </c>
      <c r="L68" s="6" t="s">
        <v>607</v>
      </c>
    </row>
    <row r="69" customFormat="false" ht="35.05" hidden="false" customHeight="false" outlineLevel="0" collapsed="false">
      <c r="A69" s="6" t="s">
        <v>123</v>
      </c>
      <c r="B69" s="6" t="s">
        <v>124</v>
      </c>
      <c r="C69" s="6" t="s">
        <v>90</v>
      </c>
      <c r="D69" s="6" t="s">
        <v>608</v>
      </c>
      <c r="E69" s="6" t="s">
        <v>335</v>
      </c>
      <c r="F69" s="6" t="s">
        <v>609</v>
      </c>
      <c r="G69" s="6" t="s">
        <v>610</v>
      </c>
      <c r="H69" s="6" t="s">
        <v>448</v>
      </c>
      <c r="I69" s="6" t="s">
        <v>611</v>
      </c>
      <c r="J69" s="6" t="s">
        <v>612</v>
      </c>
      <c r="K69" s="6" t="s">
        <v>341</v>
      </c>
      <c r="L69" s="6" t="s">
        <v>406</v>
      </c>
    </row>
    <row r="70" customFormat="false" ht="35.05" hidden="false" customHeight="false" outlineLevel="0" collapsed="false">
      <c r="A70" s="6" t="s">
        <v>123</v>
      </c>
      <c r="B70" s="6" t="s">
        <v>124</v>
      </c>
      <c r="C70" s="6" t="s">
        <v>90</v>
      </c>
      <c r="D70" s="6" t="s">
        <v>613</v>
      </c>
      <c r="E70" s="6" t="s">
        <v>335</v>
      </c>
      <c r="F70" s="6" t="s">
        <v>609</v>
      </c>
      <c r="G70" s="6" t="s">
        <v>614</v>
      </c>
      <c r="H70" s="6" t="s">
        <v>338</v>
      </c>
      <c r="I70" s="6" t="s">
        <v>615</v>
      </c>
      <c r="J70" s="6" t="s">
        <v>612</v>
      </c>
      <c r="K70" s="6" t="s">
        <v>341</v>
      </c>
      <c r="L70" s="6" t="s">
        <v>406</v>
      </c>
    </row>
    <row r="71" customFormat="false" ht="23.85" hidden="false" customHeight="false" outlineLevel="0" collapsed="false">
      <c r="A71" s="6" t="s">
        <v>123</v>
      </c>
      <c r="B71" s="6" t="s">
        <v>124</v>
      </c>
      <c r="C71" s="6" t="s">
        <v>90</v>
      </c>
      <c r="D71" s="6" t="s">
        <v>366</v>
      </c>
      <c r="E71" s="6" t="s">
        <v>359</v>
      </c>
      <c r="F71" s="6" t="s">
        <v>360</v>
      </c>
      <c r="G71" s="6" t="s">
        <v>367</v>
      </c>
      <c r="H71" s="6" t="s">
        <v>368</v>
      </c>
      <c r="I71" s="6" t="s">
        <v>369</v>
      </c>
      <c r="J71" s="6" t="s">
        <v>370</v>
      </c>
      <c r="K71" s="6" t="s">
        <v>365</v>
      </c>
      <c r="L71" s="6" t="s">
        <v>371</v>
      </c>
    </row>
    <row r="72" customFormat="false" ht="23.85" hidden="false" customHeight="false" outlineLevel="0" collapsed="false">
      <c r="A72" s="6" t="s">
        <v>123</v>
      </c>
      <c r="B72" s="6" t="s">
        <v>124</v>
      </c>
      <c r="C72" s="6" t="s">
        <v>90</v>
      </c>
      <c r="D72" s="6" t="s">
        <v>616</v>
      </c>
      <c r="E72" s="6" t="s">
        <v>359</v>
      </c>
      <c r="F72" s="6" t="s">
        <v>617</v>
      </c>
      <c r="G72" s="6" t="s">
        <v>618</v>
      </c>
      <c r="H72" s="6" t="s">
        <v>393</v>
      </c>
      <c r="I72" s="6" t="s">
        <v>619</v>
      </c>
      <c r="J72" s="6" t="s">
        <v>620</v>
      </c>
      <c r="K72" s="6" t="s">
        <v>365</v>
      </c>
      <c r="L72" s="6" t="s">
        <v>371</v>
      </c>
    </row>
    <row r="73" customFormat="false" ht="23.85" hidden="false" customHeight="false" outlineLevel="0" collapsed="false">
      <c r="A73" s="6" t="s">
        <v>123</v>
      </c>
      <c r="B73" s="6" t="s">
        <v>124</v>
      </c>
      <c r="C73" s="6" t="s">
        <v>90</v>
      </c>
      <c r="D73" s="6" t="s">
        <v>478</v>
      </c>
      <c r="E73" s="6" t="s">
        <v>359</v>
      </c>
      <c r="F73" s="6" t="s">
        <v>462</v>
      </c>
      <c r="G73" s="6" t="s">
        <v>479</v>
      </c>
      <c r="H73" s="6" t="s">
        <v>362</v>
      </c>
      <c r="I73" s="6" t="s">
        <v>480</v>
      </c>
      <c r="J73" s="6" t="s">
        <v>481</v>
      </c>
      <c r="K73" s="6" t="s">
        <v>482</v>
      </c>
      <c r="L73" s="6" t="s">
        <v>371</v>
      </c>
    </row>
    <row r="74" customFormat="false" ht="23.85" hidden="false" customHeight="false" outlineLevel="0" collapsed="false">
      <c r="A74" s="6" t="s">
        <v>131</v>
      </c>
      <c r="B74" s="6" t="s">
        <v>132</v>
      </c>
      <c r="C74" s="6" t="s">
        <v>90</v>
      </c>
      <c r="D74" s="6" t="s">
        <v>621</v>
      </c>
      <c r="E74" s="6" t="s">
        <v>335</v>
      </c>
      <c r="F74" s="6" t="s">
        <v>622</v>
      </c>
      <c r="G74" s="6" t="s">
        <v>623</v>
      </c>
      <c r="H74" s="6" t="s">
        <v>448</v>
      </c>
      <c r="I74" s="6" t="s">
        <v>624</v>
      </c>
      <c r="J74" s="6" t="s">
        <v>340</v>
      </c>
      <c r="K74" s="6" t="s">
        <v>594</v>
      </c>
      <c r="L74" s="6" t="s">
        <v>625</v>
      </c>
    </row>
    <row r="75" customFormat="false" ht="23.85" hidden="false" customHeight="false" outlineLevel="0" collapsed="false">
      <c r="A75" s="6" t="s">
        <v>131</v>
      </c>
      <c r="B75" s="6" t="s">
        <v>132</v>
      </c>
      <c r="C75" s="6" t="s">
        <v>90</v>
      </c>
      <c r="D75" s="6" t="s">
        <v>626</v>
      </c>
      <c r="E75" s="6" t="s">
        <v>335</v>
      </c>
      <c r="F75" s="6" t="s">
        <v>627</v>
      </c>
      <c r="G75" s="6" t="s">
        <v>628</v>
      </c>
      <c r="H75" s="6" t="s">
        <v>338</v>
      </c>
      <c r="I75" s="6" t="s">
        <v>624</v>
      </c>
      <c r="J75" s="6" t="s">
        <v>340</v>
      </c>
      <c r="K75" s="6" t="s">
        <v>594</v>
      </c>
      <c r="L75" s="6" t="s">
        <v>625</v>
      </c>
    </row>
    <row r="76" customFormat="false" ht="23.85" hidden="false" customHeight="false" outlineLevel="0" collapsed="false">
      <c r="A76" s="6" t="s">
        <v>131</v>
      </c>
      <c r="B76" s="6" t="s">
        <v>132</v>
      </c>
      <c r="C76" s="6" t="s">
        <v>90</v>
      </c>
      <c r="D76" s="6" t="s">
        <v>629</v>
      </c>
      <c r="E76" s="6" t="s">
        <v>335</v>
      </c>
      <c r="F76" s="6" t="s">
        <v>630</v>
      </c>
      <c r="G76" s="6" t="s">
        <v>631</v>
      </c>
      <c r="H76" s="6" t="s">
        <v>338</v>
      </c>
      <c r="I76" s="6" t="s">
        <v>632</v>
      </c>
      <c r="J76" s="6" t="s">
        <v>340</v>
      </c>
      <c r="K76" s="6" t="s">
        <v>594</v>
      </c>
      <c r="L76" s="6" t="s">
        <v>625</v>
      </c>
    </row>
    <row r="77" customFormat="false" ht="23.85" hidden="false" customHeight="false" outlineLevel="0" collapsed="false">
      <c r="A77" s="6" t="s">
        <v>131</v>
      </c>
      <c r="B77" s="6" t="s">
        <v>132</v>
      </c>
      <c r="C77" s="6" t="s">
        <v>90</v>
      </c>
      <c r="D77" s="6" t="s">
        <v>633</v>
      </c>
      <c r="E77" s="6" t="s">
        <v>335</v>
      </c>
      <c r="F77" s="6" t="s">
        <v>634</v>
      </c>
      <c r="G77" s="6" t="s">
        <v>635</v>
      </c>
      <c r="H77" s="6" t="s">
        <v>338</v>
      </c>
      <c r="I77" s="6" t="s">
        <v>624</v>
      </c>
      <c r="J77" s="6" t="s">
        <v>340</v>
      </c>
      <c r="K77" s="6" t="s">
        <v>594</v>
      </c>
      <c r="L77" s="6" t="s">
        <v>625</v>
      </c>
    </row>
    <row r="78" customFormat="false" ht="23.85" hidden="false" customHeight="false" outlineLevel="0" collapsed="false">
      <c r="A78" s="6" t="s">
        <v>131</v>
      </c>
      <c r="B78" s="6" t="s">
        <v>132</v>
      </c>
      <c r="C78" s="6" t="s">
        <v>90</v>
      </c>
      <c r="D78" s="6" t="s">
        <v>636</v>
      </c>
      <c r="E78" s="6" t="s">
        <v>335</v>
      </c>
      <c r="F78" s="6" t="s">
        <v>637</v>
      </c>
      <c r="G78" s="6" t="s">
        <v>638</v>
      </c>
      <c r="H78" s="6" t="s">
        <v>338</v>
      </c>
      <c r="I78" s="6" t="s">
        <v>624</v>
      </c>
      <c r="J78" s="6" t="s">
        <v>340</v>
      </c>
      <c r="K78" s="6" t="s">
        <v>594</v>
      </c>
      <c r="L78" s="6" t="s">
        <v>625</v>
      </c>
    </row>
    <row r="79" customFormat="false" ht="23.85" hidden="false" customHeight="false" outlineLevel="0" collapsed="false">
      <c r="A79" s="6" t="s">
        <v>131</v>
      </c>
      <c r="B79" s="6" t="s">
        <v>132</v>
      </c>
      <c r="C79" s="6" t="s">
        <v>90</v>
      </c>
      <c r="D79" s="6" t="s">
        <v>639</v>
      </c>
      <c r="E79" s="6" t="s">
        <v>335</v>
      </c>
      <c r="F79" s="6" t="s">
        <v>637</v>
      </c>
      <c r="G79" s="6" t="s">
        <v>640</v>
      </c>
      <c r="H79" s="6" t="s">
        <v>362</v>
      </c>
      <c r="I79" s="6" t="s">
        <v>641</v>
      </c>
      <c r="J79" s="6" t="s">
        <v>340</v>
      </c>
      <c r="K79" s="6" t="s">
        <v>594</v>
      </c>
      <c r="L79" s="6" t="s">
        <v>625</v>
      </c>
    </row>
    <row r="80" customFormat="false" ht="23.85" hidden="false" customHeight="false" outlineLevel="0" collapsed="false">
      <c r="A80" s="6" t="s">
        <v>131</v>
      </c>
      <c r="B80" s="6" t="s">
        <v>132</v>
      </c>
      <c r="C80" s="6" t="s">
        <v>90</v>
      </c>
      <c r="D80" s="6" t="s">
        <v>642</v>
      </c>
      <c r="E80" s="6" t="s">
        <v>335</v>
      </c>
      <c r="F80" s="6" t="s">
        <v>643</v>
      </c>
      <c r="G80" s="6" t="s">
        <v>644</v>
      </c>
      <c r="H80" s="6" t="s">
        <v>338</v>
      </c>
      <c r="I80" s="6" t="s">
        <v>624</v>
      </c>
      <c r="J80" s="6" t="s">
        <v>340</v>
      </c>
      <c r="K80" s="6" t="s">
        <v>594</v>
      </c>
      <c r="L80" s="6" t="s">
        <v>625</v>
      </c>
    </row>
    <row r="81" customFormat="false" ht="23.85" hidden="false" customHeight="false" outlineLevel="0" collapsed="false">
      <c r="A81" s="6" t="s">
        <v>131</v>
      </c>
      <c r="B81" s="6" t="s">
        <v>132</v>
      </c>
      <c r="C81" s="6" t="s">
        <v>90</v>
      </c>
      <c r="D81" s="6" t="s">
        <v>645</v>
      </c>
      <c r="E81" s="6" t="s">
        <v>359</v>
      </c>
      <c r="F81" s="6" t="s">
        <v>646</v>
      </c>
      <c r="G81" s="6" t="s">
        <v>647</v>
      </c>
      <c r="H81" s="6" t="s">
        <v>338</v>
      </c>
      <c r="I81" s="6" t="s">
        <v>648</v>
      </c>
      <c r="J81" s="6" t="s">
        <v>649</v>
      </c>
      <c r="K81" s="6" t="s">
        <v>365</v>
      </c>
      <c r="L81" s="6" t="s">
        <v>625</v>
      </c>
    </row>
    <row r="82" customFormat="false" ht="23.85" hidden="false" customHeight="false" outlineLevel="0" collapsed="false">
      <c r="A82" s="6" t="s">
        <v>131</v>
      </c>
      <c r="B82" s="6" t="s">
        <v>132</v>
      </c>
      <c r="C82" s="6" t="s">
        <v>90</v>
      </c>
      <c r="D82" s="6" t="s">
        <v>650</v>
      </c>
      <c r="E82" s="6" t="s">
        <v>359</v>
      </c>
      <c r="F82" s="6" t="s">
        <v>646</v>
      </c>
      <c r="G82" s="6" t="s">
        <v>651</v>
      </c>
      <c r="H82" s="6" t="s">
        <v>338</v>
      </c>
      <c r="I82" s="6" t="s">
        <v>632</v>
      </c>
      <c r="J82" s="6" t="s">
        <v>649</v>
      </c>
      <c r="K82" s="6" t="s">
        <v>365</v>
      </c>
      <c r="L82" s="6" t="s">
        <v>625</v>
      </c>
    </row>
    <row r="83" customFormat="false" ht="23.85" hidden="false" customHeight="false" outlineLevel="0" collapsed="false">
      <c r="A83" s="6" t="s">
        <v>141</v>
      </c>
      <c r="B83" s="6" t="s">
        <v>142</v>
      </c>
      <c r="C83" s="6" t="s">
        <v>90</v>
      </c>
      <c r="D83" s="6" t="s">
        <v>414</v>
      </c>
      <c r="E83" s="6" t="s">
        <v>415</v>
      </c>
      <c r="F83" s="6" t="s">
        <v>416</v>
      </c>
      <c r="G83" s="6" t="s">
        <v>417</v>
      </c>
      <c r="H83" s="6" t="s">
        <v>338</v>
      </c>
      <c r="I83" s="6" t="s">
        <v>418</v>
      </c>
      <c r="J83" s="6" t="s">
        <v>340</v>
      </c>
      <c r="K83" s="6" t="s">
        <v>419</v>
      </c>
      <c r="L83" s="6" t="s">
        <v>420</v>
      </c>
    </row>
    <row r="84" customFormat="false" ht="23.85" hidden="false" customHeight="false" outlineLevel="0" collapsed="false">
      <c r="A84" s="6" t="s">
        <v>141</v>
      </c>
      <c r="B84" s="6" t="s">
        <v>142</v>
      </c>
      <c r="C84" s="6" t="s">
        <v>90</v>
      </c>
      <c r="D84" s="6" t="s">
        <v>652</v>
      </c>
      <c r="E84" s="6" t="s">
        <v>415</v>
      </c>
      <c r="F84" s="6" t="s">
        <v>547</v>
      </c>
      <c r="G84" s="6" t="s">
        <v>653</v>
      </c>
      <c r="H84" s="6" t="s">
        <v>338</v>
      </c>
      <c r="I84" s="6" t="s">
        <v>654</v>
      </c>
      <c r="J84" s="6" t="s">
        <v>364</v>
      </c>
      <c r="K84" s="6" t="s">
        <v>125</v>
      </c>
      <c r="L84" s="6" t="s">
        <v>655</v>
      </c>
    </row>
    <row r="85" customFormat="false" ht="23.85" hidden="false" customHeight="false" outlineLevel="0" collapsed="false">
      <c r="A85" s="6" t="s">
        <v>141</v>
      </c>
      <c r="B85" s="6" t="s">
        <v>142</v>
      </c>
      <c r="C85" s="6" t="s">
        <v>90</v>
      </c>
      <c r="D85" s="6" t="s">
        <v>656</v>
      </c>
      <c r="E85" s="6" t="s">
        <v>415</v>
      </c>
      <c r="F85" s="6" t="s">
        <v>657</v>
      </c>
      <c r="G85" s="6" t="s">
        <v>658</v>
      </c>
      <c r="H85" s="6" t="s">
        <v>338</v>
      </c>
      <c r="I85" s="6" t="s">
        <v>659</v>
      </c>
      <c r="J85" s="6" t="s">
        <v>340</v>
      </c>
      <c r="K85" s="6" t="s">
        <v>125</v>
      </c>
      <c r="L85" s="6" t="s">
        <v>655</v>
      </c>
    </row>
    <row r="86" customFormat="false" ht="23.85" hidden="false" customHeight="false" outlineLevel="0" collapsed="false">
      <c r="A86" s="6" t="s">
        <v>141</v>
      </c>
      <c r="B86" s="6" t="s">
        <v>142</v>
      </c>
      <c r="C86" s="6" t="s">
        <v>90</v>
      </c>
      <c r="D86" s="6" t="s">
        <v>660</v>
      </c>
      <c r="E86" s="6" t="s">
        <v>415</v>
      </c>
      <c r="F86" s="6" t="s">
        <v>661</v>
      </c>
      <c r="G86" s="6" t="s">
        <v>662</v>
      </c>
      <c r="H86" s="6" t="s">
        <v>338</v>
      </c>
      <c r="I86" s="6" t="s">
        <v>663</v>
      </c>
      <c r="J86" s="6" t="s">
        <v>340</v>
      </c>
      <c r="K86" s="6" t="s">
        <v>95</v>
      </c>
      <c r="L86" s="6" t="s">
        <v>655</v>
      </c>
    </row>
    <row r="87" customFormat="false" ht="23.85" hidden="false" customHeight="false" outlineLevel="0" collapsed="false">
      <c r="A87" s="6" t="s">
        <v>141</v>
      </c>
      <c r="B87" s="6" t="s">
        <v>142</v>
      </c>
      <c r="C87" s="6" t="s">
        <v>90</v>
      </c>
      <c r="D87" s="6" t="s">
        <v>664</v>
      </c>
      <c r="E87" s="6" t="s">
        <v>415</v>
      </c>
      <c r="F87" s="6" t="s">
        <v>665</v>
      </c>
      <c r="G87" s="6" t="s">
        <v>666</v>
      </c>
      <c r="H87" s="6" t="s">
        <v>338</v>
      </c>
      <c r="I87" s="6" t="s">
        <v>667</v>
      </c>
      <c r="J87" s="6" t="s">
        <v>340</v>
      </c>
      <c r="K87" s="6" t="s">
        <v>95</v>
      </c>
      <c r="L87" s="6" t="s">
        <v>655</v>
      </c>
    </row>
    <row r="88" customFormat="false" ht="23.85" hidden="false" customHeight="false" outlineLevel="0" collapsed="false">
      <c r="A88" s="6" t="s">
        <v>141</v>
      </c>
      <c r="B88" s="6" t="s">
        <v>142</v>
      </c>
      <c r="C88" s="6" t="s">
        <v>90</v>
      </c>
      <c r="D88" s="6" t="s">
        <v>668</v>
      </c>
      <c r="E88" s="6" t="s">
        <v>415</v>
      </c>
      <c r="F88" s="6" t="s">
        <v>661</v>
      </c>
      <c r="G88" s="6" t="s">
        <v>669</v>
      </c>
      <c r="H88" s="6" t="s">
        <v>338</v>
      </c>
      <c r="I88" s="6" t="s">
        <v>670</v>
      </c>
      <c r="J88" s="6" t="s">
        <v>340</v>
      </c>
      <c r="K88" s="6" t="s">
        <v>61</v>
      </c>
      <c r="L88" s="6" t="s">
        <v>655</v>
      </c>
    </row>
    <row r="89" customFormat="false" ht="35.05" hidden="false" customHeight="false" outlineLevel="0" collapsed="false">
      <c r="A89" s="6" t="s">
        <v>141</v>
      </c>
      <c r="B89" s="6" t="s">
        <v>142</v>
      </c>
      <c r="C89" s="6" t="s">
        <v>90</v>
      </c>
      <c r="D89" s="6" t="s">
        <v>603</v>
      </c>
      <c r="E89" s="6" t="s">
        <v>415</v>
      </c>
      <c r="F89" s="6" t="s">
        <v>604</v>
      </c>
      <c r="G89" s="6" t="s">
        <v>605</v>
      </c>
      <c r="H89" s="6" t="s">
        <v>338</v>
      </c>
      <c r="I89" s="6" t="s">
        <v>606</v>
      </c>
      <c r="J89" s="6" t="s">
        <v>340</v>
      </c>
      <c r="K89" s="6" t="s">
        <v>365</v>
      </c>
      <c r="L89" s="6" t="s">
        <v>607</v>
      </c>
    </row>
    <row r="90" customFormat="false" ht="23.85" hidden="false" customHeight="false" outlineLevel="0" collapsed="false">
      <c r="A90" s="6" t="s">
        <v>141</v>
      </c>
      <c r="B90" s="6" t="s">
        <v>142</v>
      </c>
      <c r="C90" s="6" t="s">
        <v>90</v>
      </c>
      <c r="D90" s="6" t="s">
        <v>546</v>
      </c>
      <c r="E90" s="6" t="s">
        <v>376</v>
      </c>
      <c r="F90" s="6" t="s">
        <v>547</v>
      </c>
      <c r="G90" s="6" t="s">
        <v>548</v>
      </c>
      <c r="H90" s="6" t="s">
        <v>338</v>
      </c>
      <c r="I90" s="6" t="s">
        <v>549</v>
      </c>
      <c r="J90" s="6" t="s">
        <v>364</v>
      </c>
      <c r="K90" s="6" t="s">
        <v>365</v>
      </c>
      <c r="L90" s="6" t="s">
        <v>550</v>
      </c>
    </row>
    <row r="91" customFormat="false" ht="23.85" hidden="false" customHeight="false" outlineLevel="0" collapsed="false">
      <c r="A91" s="6" t="s">
        <v>152</v>
      </c>
      <c r="B91" s="6" t="s">
        <v>153</v>
      </c>
      <c r="C91" s="6" t="s">
        <v>90</v>
      </c>
      <c r="D91" s="6" t="s">
        <v>633</v>
      </c>
      <c r="E91" s="6" t="s">
        <v>335</v>
      </c>
      <c r="F91" s="6" t="s">
        <v>634</v>
      </c>
      <c r="G91" s="6" t="s">
        <v>635</v>
      </c>
      <c r="H91" s="6" t="s">
        <v>338</v>
      </c>
      <c r="I91" s="6" t="s">
        <v>624</v>
      </c>
      <c r="J91" s="6" t="s">
        <v>340</v>
      </c>
      <c r="K91" s="6" t="s">
        <v>594</v>
      </c>
      <c r="L91" s="6" t="s">
        <v>625</v>
      </c>
    </row>
    <row r="92" customFormat="false" ht="23.85" hidden="false" customHeight="false" outlineLevel="0" collapsed="false">
      <c r="A92" s="6" t="s">
        <v>152</v>
      </c>
      <c r="B92" s="6" t="s">
        <v>153</v>
      </c>
      <c r="C92" s="6" t="s">
        <v>90</v>
      </c>
      <c r="D92" s="6" t="s">
        <v>642</v>
      </c>
      <c r="E92" s="6" t="s">
        <v>335</v>
      </c>
      <c r="F92" s="6" t="s">
        <v>643</v>
      </c>
      <c r="G92" s="6" t="s">
        <v>644</v>
      </c>
      <c r="H92" s="6" t="s">
        <v>338</v>
      </c>
      <c r="I92" s="6" t="s">
        <v>624</v>
      </c>
      <c r="J92" s="6" t="s">
        <v>340</v>
      </c>
      <c r="K92" s="6" t="s">
        <v>594</v>
      </c>
      <c r="L92" s="6" t="s">
        <v>625</v>
      </c>
    </row>
    <row r="93" customFormat="false" ht="23.85" hidden="false" customHeight="false" outlineLevel="0" collapsed="false">
      <c r="A93" s="6" t="s">
        <v>152</v>
      </c>
      <c r="B93" s="6" t="s">
        <v>153</v>
      </c>
      <c r="C93" s="6" t="s">
        <v>90</v>
      </c>
      <c r="D93" s="6" t="s">
        <v>596</v>
      </c>
      <c r="E93" s="6" t="s">
        <v>335</v>
      </c>
      <c r="F93" s="6" t="s">
        <v>597</v>
      </c>
      <c r="G93" s="6" t="s">
        <v>598</v>
      </c>
      <c r="H93" s="6" t="s">
        <v>338</v>
      </c>
      <c r="I93" s="6" t="s">
        <v>399</v>
      </c>
      <c r="J93" s="6" t="s">
        <v>340</v>
      </c>
      <c r="K93" s="6" t="s">
        <v>594</v>
      </c>
      <c r="L93" s="6" t="s">
        <v>599</v>
      </c>
    </row>
    <row r="94" customFormat="false" ht="23.85" hidden="false" customHeight="false" outlineLevel="0" collapsed="false">
      <c r="A94" s="6" t="s">
        <v>152</v>
      </c>
      <c r="B94" s="6" t="s">
        <v>153</v>
      </c>
      <c r="C94" s="6" t="s">
        <v>90</v>
      </c>
      <c r="D94" s="6" t="s">
        <v>671</v>
      </c>
      <c r="E94" s="6" t="s">
        <v>376</v>
      </c>
      <c r="F94" s="6" t="s">
        <v>557</v>
      </c>
      <c r="G94" s="6" t="s">
        <v>672</v>
      </c>
      <c r="H94" s="6" t="s">
        <v>448</v>
      </c>
      <c r="I94" s="6" t="s">
        <v>673</v>
      </c>
      <c r="J94" s="6" t="s">
        <v>340</v>
      </c>
      <c r="K94" s="6" t="s">
        <v>38</v>
      </c>
      <c r="L94" s="6" t="s">
        <v>380</v>
      </c>
    </row>
    <row r="95" customFormat="false" ht="23.85" hidden="false" customHeight="false" outlineLevel="0" collapsed="false">
      <c r="A95" s="6" t="s">
        <v>152</v>
      </c>
      <c r="B95" s="6" t="s">
        <v>153</v>
      </c>
      <c r="C95" s="6" t="s">
        <v>90</v>
      </c>
      <c r="D95" s="6" t="s">
        <v>556</v>
      </c>
      <c r="E95" s="6" t="s">
        <v>376</v>
      </c>
      <c r="F95" s="6" t="s">
        <v>557</v>
      </c>
      <c r="G95" s="6" t="s">
        <v>558</v>
      </c>
      <c r="H95" s="6" t="s">
        <v>448</v>
      </c>
      <c r="I95" s="6" t="s">
        <v>559</v>
      </c>
      <c r="J95" s="6" t="s">
        <v>364</v>
      </c>
      <c r="K95" s="6" t="s">
        <v>365</v>
      </c>
      <c r="L95" s="6" t="s">
        <v>380</v>
      </c>
    </row>
    <row r="96" customFormat="false" ht="23.85" hidden="false" customHeight="false" outlineLevel="0" collapsed="false">
      <c r="A96" s="6" t="s">
        <v>163</v>
      </c>
      <c r="B96" s="6" t="s">
        <v>164</v>
      </c>
      <c r="C96" s="6" t="s">
        <v>165</v>
      </c>
      <c r="D96" s="6" t="s">
        <v>381</v>
      </c>
      <c r="E96" s="6" t="s">
        <v>382</v>
      </c>
      <c r="F96" s="6" t="s">
        <v>383</v>
      </c>
      <c r="G96" s="6" t="s">
        <v>384</v>
      </c>
      <c r="H96" s="6" t="s">
        <v>385</v>
      </c>
      <c r="I96" s="6" t="s">
        <v>386</v>
      </c>
      <c r="J96" s="6" t="s">
        <v>387</v>
      </c>
      <c r="K96" s="6" t="s">
        <v>365</v>
      </c>
      <c r="L96" s="6" t="s">
        <v>388</v>
      </c>
    </row>
    <row r="97" customFormat="false" ht="23.85" hidden="false" customHeight="false" outlineLevel="0" collapsed="false">
      <c r="A97" s="6" t="s">
        <v>163</v>
      </c>
      <c r="B97" s="6" t="s">
        <v>164</v>
      </c>
      <c r="C97" s="6" t="s">
        <v>165</v>
      </c>
      <c r="D97" s="6" t="s">
        <v>674</v>
      </c>
      <c r="E97" s="6" t="s">
        <v>382</v>
      </c>
      <c r="F97" s="6" t="s">
        <v>383</v>
      </c>
      <c r="G97" s="6" t="s">
        <v>675</v>
      </c>
      <c r="H97" s="6" t="s">
        <v>362</v>
      </c>
      <c r="I97" s="6" t="s">
        <v>676</v>
      </c>
      <c r="J97" s="6" t="s">
        <v>364</v>
      </c>
      <c r="K97" s="6" t="s">
        <v>199</v>
      </c>
      <c r="L97" s="6" t="s">
        <v>492</v>
      </c>
    </row>
    <row r="98" customFormat="false" ht="23.85" hidden="false" customHeight="false" outlineLevel="0" collapsed="false">
      <c r="A98" s="6" t="s">
        <v>163</v>
      </c>
      <c r="B98" s="6" t="s">
        <v>164</v>
      </c>
      <c r="C98" s="6" t="s">
        <v>165</v>
      </c>
      <c r="D98" s="6" t="s">
        <v>677</v>
      </c>
      <c r="E98" s="6" t="s">
        <v>382</v>
      </c>
      <c r="F98" s="6" t="s">
        <v>678</v>
      </c>
      <c r="G98" s="6" t="s">
        <v>679</v>
      </c>
      <c r="H98" s="6" t="s">
        <v>368</v>
      </c>
      <c r="I98" s="6" t="s">
        <v>680</v>
      </c>
      <c r="J98" s="6" t="s">
        <v>432</v>
      </c>
      <c r="K98" s="6" t="s">
        <v>125</v>
      </c>
      <c r="L98" s="6" t="s">
        <v>492</v>
      </c>
    </row>
    <row r="99" customFormat="false" ht="23.85" hidden="false" customHeight="false" outlineLevel="0" collapsed="false">
      <c r="A99" s="6" t="s">
        <v>163</v>
      </c>
      <c r="B99" s="6" t="s">
        <v>164</v>
      </c>
      <c r="C99" s="6" t="s">
        <v>165</v>
      </c>
      <c r="D99" s="6" t="s">
        <v>681</v>
      </c>
      <c r="E99" s="6" t="s">
        <v>382</v>
      </c>
      <c r="F99" s="6" t="s">
        <v>678</v>
      </c>
      <c r="G99" s="6" t="s">
        <v>682</v>
      </c>
      <c r="H99" s="6" t="s">
        <v>368</v>
      </c>
      <c r="I99" s="6" t="s">
        <v>680</v>
      </c>
      <c r="J99" s="6" t="s">
        <v>432</v>
      </c>
      <c r="K99" s="6" t="s">
        <v>365</v>
      </c>
      <c r="L99" s="6" t="s">
        <v>492</v>
      </c>
    </row>
    <row r="100" customFormat="false" ht="23.85" hidden="false" customHeight="false" outlineLevel="0" collapsed="false">
      <c r="A100" s="6" t="s">
        <v>163</v>
      </c>
      <c r="B100" s="6" t="s">
        <v>164</v>
      </c>
      <c r="C100" s="6" t="s">
        <v>165</v>
      </c>
      <c r="D100" s="6" t="s">
        <v>683</v>
      </c>
      <c r="E100" s="6" t="s">
        <v>382</v>
      </c>
      <c r="F100" s="6" t="s">
        <v>684</v>
      </c>
      <c r="G100" s="6" t="s">
        <v>685</v>
      </c>
      <c r="H100" s="6" t="s">
        <v>368</v>
      </c>
      <c r="I100" s="6" t="s">
        <v>686</v>
      </c>
      <c r="J100" s="6" t="s">
        <v>687</v>
      </c>
      <c r="K100" s="6" t="s">
        <v>365</v>
      </c>
      <c r="L100" s="6" t="s">
        <v>492</v>
      </c>
    </row>
    <row r="101" customFormat="false" ht="23.85" hidden="false" customHeight="false" outlineLevel="0" collapsed="false">
      <c r="A101" s="6" t="s">
        <v>163</v>
      </c>
      <c r="B101" s="6" t="s">
        <v>164</v>
      </c>
      <c r="C101" s="6" t="s">
        <v>165</v>
      </c>
      <c r="D101" s="6" t="s">
        <v>688</v>
      </c>
      <c r="E101" s="6" t="s">
        <v>382</v>
      </c>
      <c r="F101" s="6" t="s">
        <v>689</v>
      </c>
      <c r="G101" s="6" t="s">
        <v>690</v>
      </c>
      <c r="H101" s="6" t="s">
        <v>448</v>
      </c>
      <c r="I101" s="6" t="s">
        <v>691</v>
      </c>
      <c r="J101" s="6" t="s">
        <v>450</v>
      </c>
      <c r="K101" s="6" t="s">
        <v>365</v>
      </c>
      <c r="L101" s="6" t="s">
        <v>492</v>
      </c>
    </row>
    <row r="102" customFormat="false" ht="23.85" hidden="false" customHeight="false" outlineLevel="0" collapsed="false">
      <c r="A102" s="6" t="s">
        <v>163</v>
      </c>
      <c r="B102" s="6" t="s">
        <v>164</v>
      </c>
      <c r="C102" s="6" t="s">
        <v>165</v>
      </c>
      <c r="D102" s="6" t="s">
        <v>692</v>
      </c>
      <c r="E102" s="6" t="s">
        <v>382</v>
      </c>
      <c r="F102" s="6" t="s">
        <v>689</v>
      </c>
      <c r="G102" s="6" t="s">
        <v>693</v>
      </c>
      <c r="H102" s="6" t="s">
        <v>448</v>
      </c>
      <c r="I102" s="6" t="s">
        <v>694</v>
      </c>
      <c r="J102" s="6" t="s">
        <v>450</v>
      </c>
      <c r="K102" s="6" t="s">
        <v>199</v>
      </c>
      <c r="L102" s="6" t="s">
        <v>492</v>
      </c>
    </row>
    <row r="103" customFormat="false" ht="23.85" hidden="false" customHeight="false" outlineLevel="0" collapsed="false">
      <c r="A103" s="6" t="s">
        <v>163</v>
      </c>
      <c r="B103" s="6" t="s">
        <v>164</v>
      </c>
      <c r="C103" s="6" t="s">
        <v>165</v>
      </c>
      <c r="D103" s="6" t="s">
        <v>695</v>
      </c>
      <c r="E103" s="6" t="s">
        <v>382</v>
      </c>
      <c r="F103" s="6" t="s">
        <v>696</v>
      </c>
      <c r="G103" s="6" t="s">
        <v>697</v>
      </c>
      <c r="H103" s="6" t="s">
        <v>368</v>
      </c>
      <c r="I103" s="6" t="s">
        <v>698</v>
      </c>
      <c r="J103" s="6" t="s">
        <v>364</v>
      </c>
      <c r="K103" s="6" t="s">
        <v>95</v>
      </c>
      <c r="L103" s="6" t="s">
        <v>492</v>
      </c>
    </row>
    <row r="104" customFormat="false" ht="23.85" hidden="false" customHeight="false" outlineLevel="0" collapsed="false">
      <c r="A104" s="6" t="s">
        <v>163</v>
      </c>
      <c r="B104" s="6" t="s">
        <v>164</v>
      </c>
      <c r="C104" s="6" t="s">
        <v>165</v>
      </c>
      <c r="D104" s="6" t="s">
        <v>699</v>
      </c>
      <c r="E104" s="6" t="s">
        <v>382</v>
      </c>
      <c r="F104" s="6" t="s">
        <v>696</v>
      </c>
      <c r="G104" s="6" t="s">
        <v>700</v>
      </c>
      <c r="H104" s="6" t="s">
        <v>368</v>
      </c>
      <c r="I104" s="6" t="s">
        <v>701</v>
      </c>
      <c r="J104" s="6" t="s">
        <v>364</v>
      </c>
      <c r="K104" s="6" t="s">
        <v>95</v>
      </c>
      <c r="L104" s="6" t="s">
        <v>492</v>
      </c>
    </row>
    <row r="105" customFormat="false" ht="23.85" hidden="false" customHeight="false" outlineLevel="0" collapsed="false">
      <c r="A105" s="6" t="s">
        <v>163</v>
      </c>
      <c r="B105" s="6" t="s">
        <v>164</v>
      </c>
      <c r="C105" s="6" t="s">
        <v>165</v>
      </c>
      <c r="D105" s="6" t="s">
        <v>702</v>
      </c>
      <c r="E105" s="6" t="s">
        <v>382</v>
      </c>
      <c r="F105" s="6" t="s">
        <v>696</v>
      </c>
      <c r="G105" s="6" t="s">
        <v>703</v>
      </c>
      <c r="H105" s="6" t="s">
        <v>368</v>
      </c>
      <c r="I105" s="6" t="s">
        <v>704</v>
      </c>
      <c r="J105" s="6" t="s">
        <v>364</v>
      </c>
      <c r="K105" s="6" t="s">
        <v>95</v>
      </c>
      <c r="L105" s="6" t="s">
        <v>492</v>
      </c>
    </row>
    <row r="106" customFormat="false" ht="23.85" hidden="false" customHeight="false" outlineLevel="0" collapsed="false">
      <c r="A106" s="6" t="s">
        <v>163</v>
      </c>
      <c r="B106" s="6" t="s">
        <v>164</v>
      </c>
      <c r="C106" s="6" t="s">
        <v>165</v>
      </c>
      <c r="D106" s="6" t="s">
        <v>705</v>
      </c>
      <c r="E106" s="6" t="s">
        <v>382</v>
      </c>
      <c r="F106" s="6" t="s">
        <v>706</v>
      </c>
      <c r="G106" s="6" t="s">
        <v>707</v>
      </c>
      <c r="H106" s="6" t="s">
        <v>448</v>
      </c>
      <c r="I106" s="6" t="s">
        <v>708</v>
      </c>
      <c r="J106" s="6" t="s">
        <v>465</v>
      </c>
      <c r="K106" s="6" t="s">
        <v>61</v>
      </c>
      <c r="L106" s="6" t="s">
        <v>492</v>
      </c>
    </row>
    <row r="107" customFormat="false" ht="23.85" hidden="false" customHeight="false" outlineLevel="0" collapsed="false">
      <c r="A107" s="6" t="s">
        <v>163</v>
      </c>
      <c r="B107" s="6" t="s">
        <v>164</v>
      </c>
      <c r="C107" s="6" t="s">
        <v>165</v>
      </c>
      <c r="D107" s="6" t="s">
        <v>709</v>
      </c>
      <c r="E107" s="6" t="s">
        <v>382</v>
      </c>
      <c r="F107" s="6" t="s">
        <v>710</v>
      </c>
      <c r="G107" s="6" t="s">
        <v>711</v>
      </c>
      <c r="H107" s="6" t="s">
        <v>368</v>
      </c>
      <c r="I107" s="6" t="s">
        <v>712</v>
      </c>
      <c r="J107" s="6" t="s">
        <v>481</v>
      </c>
      <c r="K107" s="6" t="s">
        <v>38</v>
      </c>
      <c r="L107" s="6" t="s">
        <v>492</v>
      </c>
    </row>
    <row r="108" customFormat="false" ht="23.85" hidden="false" customHeight="false" outlineLevel="0" collapsed="false">
      <c r="A108" s="6" t="s">
        <v>163</v>
      </c>
      <c r="B108" s="6" t="s">
        <v>164</v>
      </c>
      <c r="C108" s="6" t="s">
        <v>165</v>
      </c>
      <c r="D108" s="6" t="s">
        <v>713</v>
      </c>
      <c r="E108" s="6" t="s">
        <v>382</v>
      </c>
      <c r="F108" s="6" t="s">
        <v>488</v>
      </c>
      <c r="G108" s="6" t="s">
        <v>714</v>
      </c>
      <c r="H108" s="6" t="s">
        <v>448</v>
      </c>
      <c r="I108" s="6" t="s">
        <v>715</v>
      </c>
      <c r="J108" s="6" t="s">
        <v>716</v>
      </c>
      <c r="K108" s="6" t="s">
        <v>125</v>
      </c>
      <c r="L108" s="6" t="s">
        <v>492</v>
      </c>
    </row>
    <row r="109" customFormat="false" ht="23.85" hidden="false" customHeight="false" outlineLevel="0" collapsed="false">
      <c r="A109" s="6" t="s">
        <v>163</v>
      </c>
      <c r="B109" s="6" t="s">
        <v>164</v>
      </c>
      <c r="C109" s="6" t="s">
        <v>165</v>
      </c>
      <c r="D109" s="6" t="s">
        <v>717</v>
      </c>
      <c r="E109" s="6" t="s">
        <v>382</v>
      </c>
      <c r="F109" s="6" t="s">
        <v>383</v>
      </c>
      <c r="G109" s="6" t="s">
        <v>718</v>
      </c>
      <c r="H109" s="6" t="s">
        <v>385</v>
      </c>
      <c r="I109" s="6" t="s">
        <v>719</v>
      </c>
      <c r="J109" s="6" t="s">
        <v>387</v>
      </c>
      <c r="K109" s="6" t="s">
        <v>365</v>
      </c>
      <c r="L109" s="6" t="s">
        <v>492</v>
      </c>
    </row>
    <row r="110" customFormat="false" ht="23.85" hidden="false" customHeight="false" outlineLevel="0" collapsed="false">
      <c r="A110" s="6" t="s">
        <v>163</v>
      </c>
      <c r="B110" s="6" t="s">
        <v>164</v>
      </c>
      <c r="C110" s="6" t="s">
        <v>165</v>
      </c>
      <c r="D110" s="6" t="s">
        <v>720</v>
      </c>
      <c r="E110" s="6" t="s">
        <v>382</v>
      </c>
      <c r="F110" s="6" t="s">
        <v>689</v>
      </c>
      <c r="G110" s="6" t="s">
        <v>721</v>
      </c>
      <c r="H110" s="6" t="s">
        <v>565</v>
      </c>
      <c r="I110" s="6" t="s">
        <v>722</v>
      </c>
      <c r="J110" s="6" t="s">
        <v>444</v>
      </c>
      <c r="K110" s="6" t="s">
        <v>125</v>
      </c>
      <c r="L110" s="6" t="s">
        <v>492</v>
      </c>
    </row>
    <row r="111" customFormat="false" ht="23.85" hidden="false" customHeight="false" outlineLevel="0" collapsed="false">
      <c r="A111" s="6" t="s">
        <v>163</v>
      </c>
      <c r="B111" s="6" t="s">
        <v>164</v>
      </c>
      <c r="C111" s="6" t="s">
        <v>165</v>
      </c>
      <c r="D111" s="6" t="s">
        <v>723</v>
      </c>
      <c r="E111" s="6" t="s">
        <v>382</v>
      </c>
      <c r="F111" s="6" t="s">
        <v>689</v>
      </c>
      <c r="G111" s="6" t="s">
        <v>724</v>
      </c>
      <c r="H111" s="6" t="s">
        <v>448</v>
      </c>
      <c r="I111" s="6" t="s">
        <v>725</v>
      </c>
      <c r="J111" s="6" t="s">
        <v>444</v>
      </c>
      <c r="K111" s="6" t="s">
        <v>365</v>
      </c>
      <c r="L111" s="6" t="s">
        <v>492</v>
      </c>
    </row>
    <row r="112" customFormat="false" ht="23.85" hidden="false" customHeight="false" outlineLevel="0" collapsed="false">
      <c r="A112" s="6" t="s">
        <v>163</v>
      </c>
      <c r="B112" s="6" t="s">
        <v>164</v>
      </c>
      <c r="C112" s="6" t="s">
        <v>165</v>
      </c>
      <c r="D112" s="6" t="s">
        <v>726</v>
      </c>
      <c r="E112" s="6" t="s">
        <v>382</v>
      </c>
      <c r="F112" s="6" t="s">
        <v>696</v>
      </c>
      <c r="G112" s="6" t="s">
        <v>727</v>
      </c>
      <c r="H112" s="6" t="s">
        <v>368</v>
      </c>
      <c r="I112" s="6" t="s">
        <v>728</v>
      </c>
      <c r="J112" s="6" t="s">
        <v>444</v>
      </c>
      <c r="K112" s="6" t="s">
        <v>95</v>
      </c>
      <c r="L112" s="6" t="s">
        <v>492</v>
      </c>
    </row>
    <row r="113" customFormat="false" ht="23.85" hidden="false" customHeight="false" outlineLevel="0" collapsed="false">
      <c r="A113" s="6" t="s">
        <v>163</v>
      </c>
      <c r="B113" s="6" t="s">
        <v>164</v>
      </c>
      <c r="C113" s="6" t="s">
        <v>165</v>
      </c>
      <c r="D113" s="6" t="s">
        <v>729</v>
      </c>
      <c r="E113" s="6" t="s">
        <v>382</v>
      </c>
      <c r="F113" s="6" t="s">
        <v>730</v>
      </c>
      <c r="G113" s="6" t="s">
        <v>731</v>
      </c>
      <c r="H113" s="6" t="s">
        <v>448</v>
      </c>
      <c r="I113" s="6" t="s">
        <v>732</v>
      </c>
      <c r="J113" s="6" t="s">
        <v>450</v>
      </c>
      <c r="K113" s="6" t="s">
        <v>61</v>
      </c>
      <c r="L113" s="6" t="s">
        <v>492</v>
      </c>
    </row>
    <row r="114" customFormat="false" ht="23.85" hidden="false" customHeight="false" outlineLevel="0" collapsed="false">
      <c r="A114" s="6" t="s">
        <v>163</v>
      </c>
      <c r="B114" s="6" t="s">
        <v>164</v>
      </c>
      <c r="C114" s="6" t="s">
        <v>165</v>
      </c>
      <c r="D114" s="6" t="s">
        <v>733</v>
      </c>
      <c r="E114" s="6" t="s">
        <v>382</v>
      </c>
      <c r="F114" s="6" t="s">
        <v>488</v>
      </c>
      <c r="G114" s="6" t="s">
        <v>734</v>
      </c>
      <c r="H114" s="6" t="s">
        <v>368</v>
      </c>
      <c r="I114" s="6" t="s">
        <v>735</v>
      </c>
      <c r="J114" s="6" t="s">
        <v>497</v>
      </c>
      <c r="K114" s="6" t="s">
        <v>125</v>
      </c>
      <c r="L114" s="6" t="s">
        <v>492</v>
      </c>
    </row>
    <row r="115" customFormat="false" ht="23.85" hidden="false" customHeight="false" outlineLevel="0" collapsed="false">
      <c r="A115" s="6" t="s">
        <v>163</v>
      </c>
      <c r="B115" s="6" t="s">
        <v>164</v>
      </c>
      <c r="C115" s="6" t="s">
        <v>165</v>
      </c>
      <c r="D115" s="6" t="s">
        <v>736</v>
      </c>
      <c r="E115" s="6" t="s">
        <v>382</v>
      </c>
      <c r="F115" s="6" t="s">
        <v>737</v>
      </c>
      <c r="G115" s="6" t="s">
        <v>738</v>
      </c>
      <c r="H115" s="6" t="s">
        <v>448</v>
      </c>
      <c r="I115" s="6" t="s">
        <v>739</v>
      </c>
      <c r="J115" s="6" t="s">
        <v>340</v>
      </c>
      <c r="K115" s="6" t="s">
        <v>365</v>
      </c>
      <c r="L115" s="6" t="s">
        <v>492</v>
      </c>
    </row>
    <row r="116" customFormat="false" ht="23.85" hidden="false" customHeight="false" outlineLevel="0" collapsed="false">
      <c r="A116" s="6" t="s">
        <v>175</v>
      </c>
      <c r="B116" s="6" t="s">
        <v>176</v>
      </c>
      <c r="C116" s="6" t="s">
        <v>165</v>
      </c>
      <c r="D116" s="6" t="s">
        <v>389</v>
      </c>
      <c r="E116" s="6" t="s">
        <v>390</v>
      </c>
      <c r="F116" s="6" t="s">
        <v>391</v>
      </c>
      <c r="G116" s="6" t="s">
        <v>392</v>
      </c>
      <c r="H116" s="6" t="s">
        <v>393</v>
      </c>
      <c r="I116" s="6" t="s">
        <v>394</v>
      </c>
      <c r="J116" s="6" t="s">
        <v>364</v>
      </c>
      <c r="K116" s="6" t="s">
        <v>199</v>
      </c>
      <c r="L116" s="6" t="s">
        <v>395</v>
      </c>
    </row>
    <row r="117" customFormat="false" ht="23.85" hidden="false" customHeight="false" outlineLevel="0" collapsed="false">
      <c r="A117" s="6" t="s">
        <v>175</v>
      </c>
      <c r="B117" s="6" t="s">
        <v>176</v>
      </c>
      <c r="C117" s="6" t="s">
        <v>165</v>
      </c>
      <c r="D117" s="6" t="s">
        <v>740</v>
      </c>
      <c r="E117" s="6" t="s">
        <v>390</v>
      </c>
      <c r="F117" s="6" t="s">
        <v>741</v>
      </c>
      <c r="G117" s="6" t="s">
        <v>742</v>
      </c>
      <c r="H117" s="6" t="s">
        <v>368</v>
      </c>
      <c r="I117" s="6" t="s">
        <v>743</v>
      </c>
      <c r="J117" s="6" t="s">
        <v>364</v>
      </c>
      <c r="K117" s="6" t="s">
        <v>199</v>
      </c>
      <c r="L117" s="6" t="s">
        <v>744</v>
      </c>
    </row>
    <row r="118" customFormat="false" ht="23.85" hidden="false" customHeight="false" outlineLevel="0" collapsed="false">
      <c r="A118" s="6" t="s">
        <v>175</v>
      </c>
      <c r="B118" s="6" t="s">
        <v>176</v>
      </c>
      <c r="C118" s="6" t="s">
        <v>165</v>
      </c>
      <c r="D118" s="6" t="s">
        <v>745</v>
      </c>
      <c r="E118" s="6" t="s">
        <v>390</v>
      </c>
      <c r="F118" s="6" t="s">
        <v>746</v>
      </c>
      <c r="G118" s="6" t="s">
        <v>747</v>
      </c>
      <c r="H118" s="6" t="s">
        <v>368</v>
      </c>
      <c r="I118" s="6" t="s">
        <v>748</v>
      </c>
      <c r="J118" s="6" t="s">
        <v>749</v>
      </c>
      <c r="K118" s="6" t="s">
        <v>95</v>
      </c>
      <c r="L118" s="6" t="s">
        <v>744</v>
      </c>
    </row>
    <row r="119" customFormat="false" ht="23.85" hidden="false" customHeight="false" outlineLevel="0" collapsed="false">
      <c r="A119" s="6" t="s">
        <v>175</v>
      </c>
      <c r="B119" s="6" t="s">
        <v>176</v>
      </c>
      <c r="C119" s="6" t="s">
        <v>165</v>
      </c>
      <c r="D119" s="6" t="s">
        <v>750</v>
      </c>
      <c r="E119" s="6" t="s">
        <v>390</v>
      </c>
      <c r="F119" s="6" t="s">
        <v>746</v>
      </c>
      <c r="G119" s="6" t="s">
        <v>751</v>
      </c>
      <c r="H119" s="6" t="s">
        <v>368</v>
      </c>
      <c r="I119" s="6" t="s">
        <v>748</v>
      </c>
      <c r="J119" s="6" t="s">
        <v>752</v>
      </c>
      <c r="K119" s="6" t="s">
        <v>95</v>
      </c>
      <c r="L119" s="6" t="s">
        <v>744</v>
      </c>
    </row>
    <row r="120" customFormat="false" ht="23.85" hidden="false" customHeight="false" outlineLevel="0" collapsed="false">
      <c r="A120" s="6" t="s">
        <v>175</v>
      </c>
      <c r="B120" s="6" t="s">
        <v>176</v>
      </c>
      <c r="C120" s="6" t="s">
        <v>165</v>
      </c>
      <c r="D120" s="6" t="s">
        <v>753</v>
      </c>
      <c r="E120" s="6" t="s">
        <v>390</v>
      </c>
      <c r="F120" s="6" t="s">
        <v>754</v>
      </c>
      <c r="G120" s="6" t="s">
        <v>755</v>
      </c>
      <c r="H120" s="6" t="s">
        <v>368</v>
      </c>
      <c r="I120" s="6" t="s">
        <v>756</v>
      </c>
      <c r="J120" s="6" t="s">
        <v>444</v>
      </c>
      <c r="K120" s="6" t="s">
        <v>125</v>
      </c>
      <c r="L120" s="6" t="s">
        <v>744</v>
      </c>
    </row>
    <row r="121" customFormat="false" ht="23.85" hidden="false" customHeight="false" outlineLevel="0" collapsed="false">
      <c r="A121" s="6" t="s">
        <v>175</v>
      </c>
      <c r="B121" s="6" t="s">
        <v>176</v>
      </c>
      <c r="C121" s="6" t="s">
        <v>165</v>
      </c>
      <c r="D121" s="6" t="s">
        <v>757</v>
      </c>
      <c r="E121" s="6" t="s">
        <v>390</v>
      </c>
      <c r="F121" s="6" t="s">
        <v>754</v>
      </c>
      <c r="G121" s="6" t="s">
        <v>758</v>
      </c>
      <c r="H121" s="6" t="s">
        <v>393</v>
      </c>
      <c r="I121" s="6" t="s">
        <v>759</v>
      </c>
      <c r="J121" s="6" t="s">
        <v>444</v>
      </c>
      <c r="K121" s="6" t="s">
        <v>38</v>
      </c>
      <c r="L121" s="6" t="s">
        <v>744</v>
      </c>
    </row>
    <row r="122" customFormat="false" ht="23.85" hidden="false" customHeight="false" outlineLevel="0" collapsed="false">
      <c r="A122" s="6" t="s">
        <v>175</v>
      </c>
      <c r="B122" s="6" t="s">
        <v>176</v>
      </c>
      <c r="C122" s="6" t="s">
        <v>165</v>
      </c>
      <c r="D122" s="6" t="s">
        <v>760</v>
      </c>
      <c r="E122" s="6" t="s">
        <v>390</v>
      </c>
      <c r="F122" s="6" t="s">
        <v>761</v>
      </c>
      <c r="G122" s="6" t="s">
        <v>762</v>
      </c>
      <c r="H122" s="6" t="s">
        <v>448</v>
      </c>
      <c r="I122" s="6" t="s">
        <v>763</v>
      </c>
      <c r="J122" s="6" t="s">
        <v>364</v>
      </c>
      <c r="K122" s="6" t="s">
        <v>125</v>
      </c>
      <c r="L122" s="6" t="s">
        <v>744</v>
      </c>
    </row>
    <row r="123" customFormat="false" ht="23.85" hidden="false" customHeight="false" outlineLevel="0" collapsed="false">
      <c r="A123" s="6" t="s">
        <v>175</v>
      </c>
      <c r="B123" s="6" t="s">
        <v>176</v>
      </c>
      <c r="C123" s="6" t="s">
        <v>165</v>
      </c>
      <c r="D123" s="6" t="s">
        <v>764</v>
      </c>
      <c r="E123" s="6" t="s">
        <v>390</v>
      </c>
      <c r="F123" s="6" t="s">
        <v>765</v>
      </c>
      <c r="G123" s="6" t="s">
        <v>766</v>
      </c>
      <c r="H123" s="6" t="s">
        <v>368</v>
      </c>
      <c r="I123" s="6" t="s">
        <v>767</v>
      </c>
      <c r="J123" s="6" t="s">
        <v>364</v>
      </c>
      <c r="K123" s="6" t="s">
        <v>61</v>
      </c>
      <c r="L123" s="6" t="s">
        <v>744</v>
      </c>
    </row>
    <row r="124" customFormat="false" ht="23.85" hidden="false" customHeight="false" outlineLevel="0" collapsed="false">
      <c r="A124" s="6" t="s">
        <v>175</v>
      </c>
      <c r="B124" s="6" t="s">
        <v>176</v>
      </c>
      <c r="C124" s="6" t="s">
        <v>165</v>
      </c>
      <c r="D124" s="6" t="s">
        <v>768</v>
      </c>
      <c r="E124" s="6" t="s">
        <v>390</v>
      </c>
      <c r="F124" s="6" t="s">
        <v>765</v>
      </c>
      <c r="G124" s="6" t="s">
        <v>769</v>
      </c>
      <c r="H124" s="6" t="s">
        <v>368</v>
      </c>
      <c r="I124" s="6" t="s">
        <v>770</v>
      </c>
      <c r="J124" s="6" t="s">
        <v>364</v>
      </c>
      <c r="K124" s="6" t="s">
        <v>61</v>
      </c>
      <c r="L124" s="6" t="s">
        <v>744</v>
      </c>
    </row>
    <row r="125" customFormat="false" ht="23.85" hidden="false" customHeight="false" outlineLevel="0" collapsed="false">
      <c r="A125" s="6" t="s">
        <v>175</v>
      </c>
      <c r="B125" s="6" t="s">
        <v>176</v>
      </c>
      <c r="C125" s="6" t="s">
        <v>165</v>
      </c>
      <c r="D125" s="6" t="s">
        <v>771</v>
      </c>
      <c r="E125" s="6" t="s">
        <v>390</v>
      </c>
      <c r="F125" s="6" t="s">
        <v>772</v>
      </c>
      <c r="G125" s="6" t="s">
        <v>773</v>
      </c>
      <c r="H125" s="6" t="s">
        <v>368</v>
      </c>
      <c r="I125" s="6" t="s">
        <v>774</v>
      </c>
      <c r="J125" s="6" t="s">
        <v>364</v>
      </c>
      <c r="K125" s="6" t="s">
        <v>38</v>
      </c>
      <c r="L125" s="6" t="s">
        <v>744</v>
      </c>
    </row>
    <row r="126" customFormat="false" ht="23.85" hidden="false" customHeight="false" outlineLevel="0" collapsed="false">
      <c r="A126" s="6" t="s">
        <v>175</v>
      </c>
      <c r="B126" s="6" t="s">
        <v>176</v>
      </c>
      <c r="C126" s="6" t="s">
        <v>165</v>
      </c>
      <c r="D126" s="6" t="s">
        <v>775</v>
      </c>
      <c r="E126" s="6" t="s">
        <v>390</v>
      </c>
      <c r="F126" s="6" t="s">
        <v>776</v>
      </c>
      <c r="G126" s="6" t="s">
        <v>777</v>
      </c>
      <c r="H126" s="6" t="s">
        <v>385</v>
      </c>
      <c r="I126" s="6" t="s">
        <v>778</v>
      </c>
      <c r="J126" s="6" t="s">
        <v>364</v>
      </c>
      <c r="K126" s="6" t="s">
        <v>365</v>
      </c>
      <c r="L126" s="6" t="s">
        <v>744</v>
      </c>
    </row>
    <row r="127" customFormat="false" ht="35.05" hidden="false" customHeight="false" outlineLevel="0" collapsed="false">
      <c r="A127" s="6" t="s">
        <v>175</v>
      </c>
      <c r="B127" s="6" t="s">
        <v>176</v>
      </c>
      <c r="C127" s="6" t="s">
        <v>165</v>
      </c>
      <c r="D127" s="6" t="s">
        <v>779</v>
      </c>
      <c r="E127" s="6" t="s">
        <v>390</v>
      </c>
      <c r="F127" s="6" t="s">
        <v>776</v>
      </c>
      <c r="G127" s="6" t="s">
        <v>780</v>
      </c>
      <c r="H127" s="6" t="s">
        <v>385</v>
      </c>
      <c r="I127" s="6" t="s">
        <v>781</v>
      </c>
      <c r="J127" s="6" t="s">
        <v>782</v>
      </c>
      <c r="K127" s="6" t="s">
        <v>365</v>
      </c>
      <c r="L127" s="6" t="s">
        <v>744</v>
      </c>
    </row>
    <row r="128" customFormat="false" ht="23.85" hidden="false" customHeight="false" outlineLevel="0" collapsed="false">
      <c r="A128" s="6" t="s">
        <v>175</v>
      </c>
      <c r="B128" s="6" t="s">
        <v>176</v>
      </c>
      <c r="C128" s="6" t="s">
        <v>165</v>
      </c>
      <c r="D128" s="6" t="s">
        <v>783</v>
      </c>
      <c r="E128" s="6" t="s">
        <v>390</v>
      </c>
      <c r="F128" s="6" t="s">
        <v>784</v>
      </c>
      <c r="G128" s="6" t="s">
        <v>785</v>
      </c>
      <c r="H128" s="6" t="s">
        <v>448</v>
      </c>
      <c r="I128" s="6" t="s">
        <v>786</v>
      </c>
      <c r="J128" s="6" t="s">
        <v>364</v>
      </c>
      <c r="K128" s="6" t="s">
        <v>125</v>
      </c>
      <c r="L128" s="6" t="s">
        <v>744</v>
      </c>
    </row>
    <row r="129" customFormat="false" ht="23.85" hidden="false" customHeight="false" outlineLevel="0" collapsed="false">
      <c r="A129" s="6" t="s">
        <v>185</v>
      </c>
      <c r="B129" s="6" t="s">
        <v>186</v>
      </c>
      <c r="C129" s="6" t="s">
        <v>165</v>
      </c>
      <c r="D129" s="6" t="s">
        <v>787</v>
      </c>
      <c r="E129" s="6" t="s">
        <v>415</v>
      </c>
      <c r="F129" s="6" t="s">
        <v>788</v>
      </c>
      <c r="G129" s="6" t="s">
        <v>789</v>
      </c>
      <c r="H129" s="6" t="s">
        <v>338</v>
      </c>
      <c r="I129" s="6" t="s">
        <v>790</v>
      </c>
      <c r="J129" s="6" t="s">
        <v>340</v>
      </c>
      <c r="K129" s="6" t="s">
        <v>482</v>
      </c>
      <c r="L129" s="6" t="s">
        <v>655</v>
      </c>
    </row>
    <row r="130" customFormat="false" ht="23.85" hidden="false" customHeight="false" outlineLevel="0" collapsed="false">
      <c r="A130" s="6" t="s">
        <v>185</v>
      </c>
      <c r="B130" s="6" t="s">
        <v>186</v>
      </c>
      <c r="C130" s="6" t="s">
        <v>165</v>
      </c>
      <c r="D130" s="6" t="s">
        <v>791</v>
      </c>
      <c r="E130" s="6" t="s">
        <v>415</v>
      </c>
      <c r="F130" s="6" t="s">
        <v>788</v>
      </c>
      <c r="G130" s="6" t="s">
        <v>792</v>
      </c>
      <c r="H130" s="6" t="s">
        <v>338</v>
      </c>
      <c r="I130" s="6" t="s">
        <v>793</v>
      </c>
      <c r="J130" s="6" t="s">
        <v>340</v>
      </c>
      <c r="K130" s="6" t="s">
        <v>482</v>
      </c>
      <c r="L130" s="6" t="s">
        <v>655</v>
      </c>
    </row>
    <row r="131" customFormat="false" ht="23.85" hidden="false" customHeight="false" outlineLevel="0" collapsed="false">
      <c r="A131" s="6" t="s">
        <v>185</v>
      </c>
      <c r="B131" s="6" t="s">
        <v>186</v>
      </c>
      <c r="C131" s="6" t="s">
        <v>165</v>
      </c>
      <c r="D131" s="6" t="s">
        <v>794</v>
      </c>
      <c r="E131" s="6" t="s">
        <v>415</v>
      </c>
      <c r="F131" s="6" t="s">
        <v>547</v>
      </c>
      <c r="G131" s="6" t="s">
        <v>795</v>
      </c>
      <c r="H131" s="6" t="s">
        <v>368</v>
      </c>
      <c r="I131" s="6" t="s">
        <v>796</v>
      </c>
      <c r="J131" s="6" t="s">
        <v>444</v>
      </c>
      <c r="K131" s="6" t="s">
        <v>95</v>
      </c>
      <c r="L131" s="6" t="s">
        <v>655</v>
      </c>
    </row>
    <row r="132" customFormat="false" ht="23.85" hidden="false" customHeight="false" outlineLevel="0" collapsed="false">
      <c r="A132" s="6" t="s">
        <v>185</v>
      </c>
      <c r="B132" s="6" t="s">
        <v>186</v>
      </c>
      <c r="C132" s="6" t="s">
        <v>165</v>
      </c>
      <c r="D132" s="6" t="s">
        <v>797</v>
      </c>
      <c r="E132" s="6" t="s">
        <v>415</v>
      </c>
      <c r="F132" s="6" t="s">
        <v>798</v>
      </c>
      <c r="G132" s="6" t="s">
        <v>799</v>
      </c>
      <c r="H132" s="6" t="s">
        <v>338</v>
      </c>
      <c r="I132" s="6" t="s">
        <v>800</v>
      </c>
      <c r="J132" s="6" t="s">
        <v>340</v>
      </c>
      <c r="K132" s="6" t="s">
        <v>95</v>
      </c>
      <c r="L132" s="6" t="s">
        <v>655</v>
      </c>
    </row>
    <row r="133" customFormat="false" ht="23.85" hidden="false" customHeight="false" outlineLevel="0" collapsed="false">
      <c r="A133" s="6" t="s">
        <v>185</v>
      </c>
      <c r="B133" s="6" t="s">
        <v>186</v>
      </c>
      <c r="C133" s="6" t="s">
        <v>165</v>
      </c>
      <c r="D133" s="6" t="s">
        <v>801</v>
      </c>
      <c r="E133" s="6" t="s">
        <v>415</v>
      </c>
      <c r="F133" s="6" t="s">
        <v>802</v>
      </c>
      <c r="G133" s="6" t="s">
        <v>803</v>
      </c>
      <c r="H133" s="6" t="s">
        <v>448</v>
      </c>
      <c r="I133" s="6" t="s">
        <v>804</v>
      </c>
      <c r="J133" s="6" t="s">
        <v>805</v>
      </c>
      <c r="K133" s="6" t="s">
        <v>95</v>
      </c>
      <c r="L133" s="6" t="s">
        <v>655</v>
      </c>
    </row>
    <row r="134" customFormat="false" ht="23.85" hidden="false" customHeight="false" outlineLevel="0" collapsed="false">
      <c r="A134" s="6" t="s">
        <v>185</v>
      </c>
      <c r="B134" s="6" t="s">
        <v>186</v>
      </c>
      <c r="C134" s="6" t="s">
        <v>165</v>
      </c>
      <c r="D134" s="6" t="s">
        <v>806</v>
      </c>
      <c r="E134" s="6" t="s">
        <v>415</v>
      </c>
      <c r="F134" s="6" t="s">
        <v>807</v>
      </c>
      <c r="G134" s="6" t="s">
        <v>808</v>
      </c>
      <c r="H134" s="6" t="s">
        <v>448</v>
      </c>
      <c r="I134" s="6" t="s">
        <v>809</v>
      </c>
      <c r="J134" s="6" t="s">
        <v>805</v>
      </c>
      <c r="K134" s="6" t="s">
        <v>61</v>
      </c>
      <c r="L134" s="6" t="s">
        <v>655</v>
      </c>
    </row>
    <row r="135" customFormat="false" ht="23.85" hidden="false" customHeight="false" outlineLevel="0" collapsed="false">
      <c r="A135" s="6" t="s">
        <v>185</v>
      </c>
      <c r="B135" s="6" t="s">
        <v>186</v>
      </c>
      <c r="C135" s="6" t="s">
        <v>165</v>
      </c>
      <c r="D135" s="6" t="s">
        <v>810</v>
      </c>
      <c r="E135" s="6" t="s">
        <v>415</v>
      </c>
      <c r="F135" s="6" t="s">
        <v>811</v>
      </c>
      <c r="G135" s="6" t="s">
        <v>812</v>
      </c>
      <c r="H135" s="6" t="s">
        <v>338</v>
      </c>
      <c r="I135" s="6" t="s">
        <v>813</v>
      </c>
      <c r="J135" s="6" t="s">
        <v>340</v>
      </c>
      <c r="K135" s="6" t="s">
        <v>61</v>
      </c>
      <c r="L135" s="6" t="s">
        <v>655</v>
      </c>
    </row>
    <row r="136" customFormat="false" ht="23.85" hidden="false" customHeight="false" outlineLevel="0" collapsed="false">
      <c r="A136" s="6" t="s">
        <v>185</v>
      </c>
      <c r="B136" s="6" t="s">
        <v>186</v>
      </c>
      <c r="C136" s="6" t="s">
        <v>165</v>
      </c>
      <c r="D136" s="6" t="s">
        <v>814</v>
      </c>
      <c r="E136" s="6" t="s">
        <v>415</v>
      </c>
      <c r="F136" s="6" t="s">
        <v>815</v>
      </c>
      <c r="G136" s="6" t="s">
        <v>816</v>
      </c>
      <c r="H136" s="6" t="s">
        <v>338</v>
      </c>
      <c r="I136" s="6" t="s">
        <v>817</v>
      </c>
      <c r="J136" s="6" t="s">
        <v>818</v>
      </c>
      <c r="K136" s="6" t="s">
        <v>38</v>
      </c>
      <c r="L136" s="6" t="s">
        <v>655</v>
      </c>
    </row>
    <row r="137" customFormat="false" ht="23.85" hidden="false" customHeight="false" outlineLevel="0" collapsed="false">
      <c r="A137" s="6" t="s">
        <v>185</v>
      </c>
      <c r="B137" s="6" t="s">
        <v>186</v>
      </c>
      <c r="C137" s="6" t="s">
        <v>165</v>
      </c>
      <c r="D137" s="6" t="s">
        <v>819</v>
      </c>
      <c r="E137" s="6" t="s">
        <v>415</v>
      </c>
      <c r="F137" s="6" t="s">
        <v>788</v>
      </c>
      <c r="G137" s="6" t="s">
        <v>820</v>
      </c>
      <c r="H137" s="6" t="s">
        <v>385</v>
      </c>
      <c r="I137" s="6" t="s">
        <v>821</v>
      </c>
      <c r="J137" s="6" t="s">
        <v>340</v>
      </c>
      <c r="K137" s="6" t="s">
        <v>365</v>
      </c>
      <c r="L137" s="6" t="s">
        <v>655</v>
      </c>
    </row>
    <row r="138" customFormat="false" ht="23.85" hidden="false" customHeight="false" outlineLevel="0" collapsed="false">
      <c r="A138" s="6" t="s">
        <v>185</v>
      </c>
      <c r="B138" s="6" t="s">
        <v>186</v>
      </c>
      <c r="C138" s="6" t="s">
        <v>165</v>
      </c>
      <c r="D138" s="6" t="s">
        <v>822</v>
      </c>
      <c r="E138" s="6" t="s">
        <v>415</v>
      </c>
      <c r="F138" s="6" t="s">
        <v>823</v>
      </c>
      <c r="G138" s="6" t="s">
        <v>824</v>
      </c>
      <c r="H138" s="6" t="s">
        <v>385</v>
      </c>
      <c r="I138" s="6" t="s">
        <v>825</v>
      </c>
      <c r="J138" s="6" t="s">
        <v>340</v>
      </c>
      <c r="K138" s="6" t="s">
        <v>365</v>
      </c>
      <c r="L138" s="6" t="s">
        <v>655</v>
      </c>
    </row>
    <row r="139" customFormat="false" ht="23.85" hidden="false" customHeight="false" outlineLevel="0" collapsed="false">
      <c r="A139" s="6" t="s">
        <v>185</v>
      </c>
      <c r="B139" s="6" t="s">
        <v>186</v>
      </c>
      <c r="C139" s="6" t="s">
        <v>165</v>
      </c>
      <c r="D139" s="6" t="s">
        <v>826</v>
      </c>
      <c r="E139" s="6" t="s">
        <v>415</v>
      </c>
      <c r="F139" s="6" t="s">
        <v>661</v>
      </c>
      <c r="G139" s="6" t="s">
        <v>827</v>
      </c>
      <c r="H139" s="6" t="s">
        <v>448</v>
      </c>
      <c r="I139" s="6" t="s">
        <v>828</v>
      </c>
      <c r="J139" s="6" t="s">
        <v>340</v>
      </c>
      <c r="K139" s="6" t="s">
        <v>365</v>
      </c>
      <c r="L139" s="6" t="s">
        <v>655</v>
      </c>
    </row>
    <row r="140" customFormat="false" ht="23.85" hidden="false" customHeight="false" outlineLevel="0" collapsed="false">
      <c r="A140" s="6" t="s">
        <v>185</v>
      </c>
      <c r="B140" s="6" t="s">
        <v>186</v>
      </c>
      <c r="C140" s="6" t="s">
        <v>165</v>
      </c>
      <c r="D140" s="6" t="s">
        <v>829</v>
      </c>
      <c r="E140" s="6" t="s">
        <v>415</v>
      </c>
      <c r="F140" s="6" t="s">
        <v>830</v>
      </c>
      <c r="G140" s="6" t="s">
        <v>831</v>
      </c>
      <c r="H140" s="6" t="s">
        <v>368</v>
      </c>
      <c r="I140" s="6" t="s">
        <v>832</v>
      </c>
      <c r="J140" s="6" t="s">
        <v>805</v>
      </c>
      <c r="K140" s="6" t="s">
        <v>365</v>
      </c>
      <c r="L140" s="6" t="s">
        <v>655</v>
      </c>
    </row>
    <row r="141" customFormat="false" ht="23.85" hidden="false" customHeight="false" outlineLevel="0" collapsed="false">
      <c r="A141" s="6" t="s">
        <v>185</v>
      </c>
      <c r="B141" s="6" t="s">
        <v>186</v>
      </c>
      <c r="C141" s="6" t="s">
        <v>165</v>
      </c>
      <c r="D141" s="6" t="s">
        <v>833</v>
      </c>
      <c r="E141" s="6" t="s">
        <v>415</v>
      </c>
      <c r="F141" s="6" t="s">
        <v>834</v>
      </c>
      <c r="G141" s="6" t="s">
        <v>835</v>
      </c>
      <c r="H141" s="6" t="s">
        <v>385</v>
      </c>
      <c r="I141" s="6" t="s">
        <v>836</v>
      </c>
      <c r="J141" s="6" t="s">
        <v>340</v>
      </c>
      <c r="K141" s="6" t="s">
        <v>365</v>
      </c>
      <c r="L141" s="6" t="s">
        <v>655</v>
      </c>
    </row>
    <row r="142" customFormat="false" ht="23.85" hidden="false" customHeight="false" outlineLevel="0" collapsed="false">
      <c r="A142" s="6" t="s">
        <v>185</v>
      </c>
      <c r="B142" s="6" t="s">
        <v>186</v>
      </c>
      <c r="C142" s="6" t="s">
        <v>165</v>
      </c>
      <c r="D142" s="6" t="s">
        <v>837</v>
      </c>
      <c r="E142" s="6" t="s">
        <v>415</v>
      </c>
      <c r="F142" s="6" t="s">
        <v>838</v>
      </c>
      <c r="G142" s="6" t="s">
        <v>839</v>
      </c>
      <c r="H142" s="6" t="s">
        <v>448</v>
      </c>
      <c r="I142" s="6" t="s">
        <v>840</v>
      </c>
      <c r="J142" s="6" t="s">
        <v>340</v>
      </c>
      <c r="K142" s="6" t="s">
        <v>38</v>
      </c>
      <c r="L142" s="6" t="s">
        <v>655</v>
      </c>
    </row>
    <row r="143" customFormat="false" ht="23.85" hidden="false" customHeight="false" outlineLevel="0" collapsed="false">
      <c r="A143" s="6" t="s">
        <v>194</v>
      </c>
      <c r="B143" s="6" t="s">
        <v>195</v>
      </c>
      <c r="C143" s="6" t="s">
        <v>165</v>
      </c>
      <c r="D143" s="6" t="s">
        <v>841</v>
      </c>
      <c r="E143" s="6" t="s">
        <v>842</v>
      </c>
      <c r="F143" s="6" t="s">
        <v>843</v>
      </c>
      <c r="G143" s="6" t="s">
        <v>844</v>
      </c>
      <c r="H143" s="6" t="s">
        <v>338</v>
      </c>
      <c r="I143" s="6" t="s">
        <v>845</v>
      </c>
      <c r="J143" s="6" t="s">
        <v>444</v>
      </c>
      <c r="K143" s="6" t="s">
        <v>125</v>
      </c>
      <c r="L143" s="6" t="s">
        <v>586</v>
      </c>
    </row>
    <row r="144" customFormat="false" ht="23.85" hidden="false" customHeight="false" outlineLevel="0" collapsed="false">
      <c r="A144" s="6" t="s">
        <v>194</v>
      </c>
      <c r="B144" s="6" t="s">
        <v>195</v>
      </c>
      <c r="C144" s="6" t="s">
        <v>165</v>
      </c>
      <c r="D144" s="6" t="s">
        <v>846</v>
      </c>
      <c r="E144" s="6" t="s">
        <v>842</v>
      </c>
      <c r="F144" s="6" t="s">
        <v>847</v>
      </c>
      <c r="G144" s="6" t="s">
        <v>848</v>
      </c>
      <c r="H144" s="6" t="s">
        <v>368</v>
      </c>
      <c r="I144" s="6" t="s">
        <v>849</v>
      </c>
      <c r="J144" s="6" t="s">
        <v>444</v>
      </c>
      <c r="K144" s="6" t="s">
        <v>365</v>
      </c>
      <c r="L144" s="6" t="s">
        <v>586</v>
      </c>
    </row>
    <row r="145" customFormat="false" ht="23.85" hidden="false" customHeight="false" outlineLevel="0" collapsed="false">
      <c r="A145" s="6" t="s">
        <v>194</v>
      </c>
      <c r="B145" s="6" t="s">
        <v>195</v>
      </c>
      <c r="C145" s="6" t="s">
        <v>165</v>
      </c>
      <c r="D145" s="6" t="s">
        <v>414</v>
      </c>
      <c r="E145" s="6" t="s">
        <v>415</v>
      </c>
      <c r="F145" s="6" t="s">
        <v>416</v>
      </c>
      <c r="G145" s="6" t="s">
        <v>417</v>
      </c>
      <c r="H145" s="6" t="s">
        <v>338</v>
      </c>
      <c r="I145" s="6" t="s">
        <v>418</v>
      </c>
      <c r="J145" s="6" t="s">
        <v>340</v>
      </c>
      <c r="K145" s="6" t="s">
        <v>419</v>
      </c>
      <c r="L145" s="6" t="s">
        <v>420</v>
      </c>
    </row>
    <row r="146" customFormat="false" ht="23.85" hidden="false" customHeight="false" outlineLevel="0" collapsed="false">
      <c r="A146" s="6" t="s">
        <v>207</v>
      </c>
      <c r="B146" s="6" t="s">
        <v>208</v>
      </c>
      <c r="C146" s="6" t="s">
        <v>165</v>
      </c>
      <c r="D146" s="6" t="s">
        <v>633</v>
      </c>
      <c r="E146" s="6" t="s">
        <v>335</v>
      </c>
      <c r="F146" s="6" t="s">
        <v>634</v>
      </c>
      <c r="G146" s="6" t="s">
        <v>635</v>
      </c>
      <c r="H146" s="6" t="s">
        <v>338</v>
      </c>
      <c r="I146" s="6" t="s">
        <v>624</v>
      </c>
      <c r="J146" s="6" t="s">
        <v>340</v>
      </c>
      <c r="K146" s="6" t="s">
        <v>594</v>
      </c>
      <c r="L146" s="6" t="s">
        <v>625</v>
      </c>
    </row>
    <row r="147" customFormat="false" ht="23.85" hidden="false" customHeight="false" outlineLevel="0" collapsed="false">
      <c r="A147" s="6" t="s">
        <v>207</v>
      </c>
      <c r="B147" s="6" t="s">
        <v>208</v>
      </c>
      <c r="C147" s="6" t="s">
        <v>165</v>
      </c>
      <c r="D147" s="6" t="s">
        <v>636</v>
      </c>
      <c r="E147" s="6" t="s">
        <v>335</v>
      </c>
      <c r="F147" s="6" t="s">
        <v>637</v>
      </c>
      <c r="G147" s="6" t="s">
        <v>638</v>
      </c>
      <c r="H147" s="6" t="s">
        <v>338</v>
      </c>
      <c r="I147" s="6" t="s">
        <v>624</v>
      </c>
      <c r="J147" s="6" t="s">
        <v>340</v>
      </c>
      <c r="K147" s="6" t="s">
        <v>594</v>
      </c>
      <c r="L147" s="6" t="s">
        <v>625</v>
      </c>
    </row>
    <row r="148" customFormat="false" ht="23.85" hidden="false" customHeight="false" outlineLevel="0" collapsed="false">
      <c r="A148" s="6" t="s">
        <v>207</v>
      </c>
      <c r="B148" s="6" t="s">
        <v>208</v>
      </c>
      <c r="C148" s="6" t="s">
        <v>165</v>
      </c>
      <c r="D148" s="6" t="s">
        <v>642</v>
      </c>
      <c r="E148" s="6" t="s">
        <v>335</v>
      </c>
      <c r="F148" s="6" t="s">
        <v>643</v>
      </c>
      <c r="G148" s="6" t="s">
        <v>644</v>
      </c>
      <c r="H148" s="6" t="s">
        <v>338</v>
      </c>
      <c r="I148" s="6" t="s">
        <v>624</v>
      </c>
      <c r="J148" s="6" t="s">
        <v>340</v>
      </c>
      <c r="K148" s="6" t="s">
        <v>594</v>
      </c>
      <c r="L148" s="6" t="s">
        <v>625</v>
      </c>
    </row>
    <row r="149" customFormat="false" ht="23.85" hidden="false" customHeight="false" outlineLevel="0" collapsed="false">
      <c r="A149" s="6" t="s">
        <v>207</v>
      </c>
      <c r="B149" s="6" t="s">
        <v>208</v>
      </c>
      <c r="C149" s="6" t="s">
        <v>165</v>
      </c>
      <c r="D149" s="6" t="s">
        <v>841</v>
      </c>
      <c r="E149" s="6" t="s">
        <v>842</v>
      </c>
      <c r="F149" s="6" t="s">
        <v>843</v>
      </c>
      <c r="G149" s="6" t="s">
        <v>844</v>
      </c>
      <c r="H149" s="6" t="s">
        <v>338</v>
      </c>
      <c r="I149" s="6" t="s">
        <v>845</v>
      </c>
      <c r="J149" s="6" t="s">
        <v>444</v>
      </c>
      <c r="K149" s="6" t="s">
        <v>125</v>
      </c>
      <c r="L149" s="6" t="s">
        <v>586</v>
      </c>
    </row>
    <row r="150" customFormat="false" ht="23.85" hidden="false" customHeight="false" outlineLevel="0" collapsed="false">
      <c r="A150" s="6" t="s">
        <v>216</v>
      </c>
      <c r="B150" s="6" t="s">
        <v>217</v>
      </c>
      <c r="C150" s="6" t="s">
        <v>165</v>
      </c>
      <c r="D150" s="6" t="s">
        <v>656</v>
      </c>
      <c r="E150" s="6" t="s">
        <v>415</v>
      </c>
      <c r="F150" s="6" t="s">
        <v>657</v>
      </c>
      <c r="G150" s="6" t="s">
        <v>658</v>
      </c>
      <c r="H150" s="6" t="s">
        <v>338</v>
      </c>
      <c r="I150" s="6" t="s">
        <v>659</v>
      </c>
      <c r="J150" s="6" t="s">
        <v>340</v>
      </c>
      <c r="K150" s="6" t="s">
        <v>125</v>
      </c>
      <c r="L150" s="6" t="s">
        <v>655</v>
      </c>
    </row>
    <row r="151" customFormat="false" ht="23.85" hidden="false" customHeight="false" outlineLevel="0" collapsed="false">
      <c r="A151" s="6" t="s">
        <v>216</v>
      </c>
      <c r="B151" s="6" t="s">
        <v>217</v>
      </c>
      <c r="C151" s="6" t="s">
        <v>165</v>
      </c>
      <c r="D151" s="6" t="s">
        <v>801</v>
      </c>
      <c r="E151" s="6" t="s">
        <v>415</v>
      </c>
      <c r="F151" s="6" t="s">
        <v>802</v>
      </c>
      <c r="G151" s="6" t="s">
        <v>803</v>
      </c>
      <c r="H151" s="6" t="s">
        <v>448</v>
      </c>
      <c r="I151" s="6" t="s">
        <v>804</v>
      </c>
      <c r="J151" s="6" t="s">
        <v>805</v>
      </c>
      <c r="K151" s="6" t="s">
        <v>95</v>
      </c>
      <c r="L151" s="6" t="s">
        <v>655</v>
      </c>
    </row>
    <row r="152" customFormat="false" ht="23.85" hidden="false" customHeight="false" outlineLevel="0" collapsed="false">
      <c r="A152" s="6" t="s">
        <v>216</v>
      </c>
      <c r="B152" s="6" t="s">
        <v>217</v>
      </c>
      <c r="C152" s="6" t="s">
        <v>165</v>
      </c>
      <c r="D152" s="6" t="s">
        <v>806</v>
      </c>
      <c r="E152" s="6" t="s">
        <v>415</v>
      </c>
      <c r="F152" s="6" t="s">
        <v>807</v>
      </c>
      <c r="G152" s="6" t="s">
        <v>808</v>
      </c>
      <c r="H152" s="6" t="s">
        <v>448</v>
      </c>
      <c r="I152" s="6" t="s">
        <v>809</v>
      </c>
      <c r="J152" s="6" t="s">
        <v>805</v>
      </c>
      <c r="K152" s="6" t="s">
        <v>61</v>
      </c>
      <c r="L152" s="6" t="s">
        <v>655</v>
      </c>
    </row>
    <row r="153" customFormat="false" ht="23.85" hidden="false" customHeight="false" outlineLevel="0" collapsed="false">
      <c r="A153" s="6" t="s">
        <v>216</v>
      </c>
      <c r="B153" s="6" t="s">
        <v>217</v>
      </c>
      <c r="C153" s="6" t="s">
        <v>165</v>
      </c>
      <c r="D153" s="6" t="s">
        <v>850</v>
      </c>
      <c r="E153" s="6" t="s">
        <v>390</v>
      </c>
      <c r="F153" s="6" t="s">
        <v>851</v>
      </c>
      <c r="G153" s="6" t="s">
        <v>852</v>
      </c>
      <c r="H153" s="6" t="s">
        <v>448</v>
      </c>
      <c r="I153" s="6" t="s">
        <v>853</v>
      </c>
      <c r="J153" s="6" t="s">
        <v>854</v>
      </c>
      <c r="K153" s="6" t="s">
        <v>365</v>
      </c>
      <c r="L153" s="6" t="s">
        <v>744</v>
      </c>
    </row>
    <row r="154" customFormat="false" ht="23.85" hidden="false" customHeight="false" outlineLevel="0" collapsed="false">
      <c r="A154" s="6" t="s">
        <v>216</v>
      </c>
      <c r="B154" s="6" t="s">
        <v>217</v>
      </c>
      <c r="C154" s="6" t="s">
        <v>165</v>
      </c>
      <c r="D154" s="6" t="s">
        <v>794</v>
      </c>
      <c r="E154" s="6" t="s">
        <v>415</v>
      </c>
      <c r="F154" s="6" t="s">
        <v>547</v>
      </c>
      <c r="G154" s="6" t="s">
        <v>795</v>
      </c>
      <c r="H154" s="6" t="s">
        <v>368</v>
      </c>
      <c r="I154" s="6" t="s">
        <v>796</v>
      </c>
      <c r="J154" s="6" t="s">
        <v>444</v>
      </c>
      <c r="K154" s="6" t="s">
        <v>95</v>
      </c>
      <c r="L154" s="6" t="s">
        <v>655</v>
      </c>
    </row>
    <row r="155" customFormat="false" ht="23.85" hidden="false" customHeight="false" outlineLevel="0" collapsed="false">
      <c r="A155" s="6" t="s">
        <v>225</v>
      </c>
      <c r="B155" s="6" t="s">
        <v>226</v>
      </c>
      <c r="C155" s="6" t="s">
        <v>165</v>
      </c>
      <c r="D155" s="6" t="s">
        <v>855</v>
      </c>
      <c r="E155" s="6" t="s">
        <v>390</v>
      </c>
      <c r="F155" s="6" t="s">
        <v>851</v>
      </c>
      <c r="G155" s="6" t="s">
        <v>856</v>
      </c>
      <c r="H155" s="6" t="s">
        <v>385</v>
      </c>
      <c r="I155" s="6" t="s">
        <v>857</v>
      </c>
      <c r="J155" s="6" t="s">
        <v>858</v>
      </c>
      <c r="K155" s="6" t="s">
        <v>859</v>
      </c>
      <c r="L155" s="6" t="s">
        <v>744</v>
      </c>
    </row>
    <row r="156" customFormat="false" ht="23.85" hidden="false" customHeight="false" outlineLevel="0" collapsed="false">
      <c r="A156" s="6" t="s">
        <v>225</v>
      </c>
      <c r="B156" s="6" t="s">
        <v>226</v>
      </c>
      <c r="C156" s="6" t="s">
        <v>165</v>
      </c>
      <c r="D156" s="6" t="s">
        <v>860</v>
      </c>
      <c r="E156" s="6" t="s">
        <v>390</v>
      </c>
      <c r="F156" s="6" t="s">
        <v>851</v>
      </c>
      <c r="G156" s="6" t="s">
        <v>861</v>
      </c>
      <c r="H156" s="6" t="s">
        <v>448</v>
      </c>
      <c r="I156" s="6" t="s">
        <v>862</v>
      </c>
      <c r="J156" s="6" t="s">
        <v>444</v>
      </c>
      <c r="K156" s="6" t="s">
        <v>61</v>
      </c>
      <c r="L156" s="6" t="s">
        <v>744</v>
      </c>
    </row>
    <row r="157" customFormat="false" ht="23.85" hidden="false" customHeight="false" outlineLevel="0" collapsed="false">
      <c r="A157" s="6" t="s">
        <v>225</v>
      </c>
      <c r="B157" s="6" t="s">
        <v>226</v>
      </c>
      <c r="C157" s="6" t="s">
        <v>165</v>
      </c>
      <c r="D157" s="6" t="s">
        <v>850</v>
      </c>
      <c r="E157" s="6" t="s">
        <v>390</v>
      </c>
      <c r="F157" s="6" t="s">
        <v>851</v>
      </c>
      <c r="G157" s="6" t="s">
        <v>852</v>
      </c>
      <c r="H157" s="6" t="s">
        <v>448</v>
      </c>
      <c r="I157" s="6" t="s">
        <v>853</v>
      </c>
      <c r="J157" s="6" t="s">
        <v>854</v>
      </c>
      <c r="K157" s="6" t="s">
        <v>365</v>
      </c>
      <c r="L157" s="6" t="s">
        <v>744</v>
      </c>
    </row>
    <row r="158" customFormat="false" ht="15" hidden="false" customHeight="false" outlineLevel="0" collapsed="false">
      <c r="A158" s="6" t="s">
        <v>225</v>
      </c>
      <c r="B158" s="6" t="s">
        <v>226</v>
      </c>
      <c r="C158" s="6" t="s">
        <v>165</v>
      </c>
      <c r="D158" s="6" t="s">
        <v>863</v>
      </c>
      <c r="E158" s="6" t="s">
        <v>382</v>
      </c>
      <c r="F158" s="6" t="s">
        <v>678</v>
      </c>
      <c r="G158" s="6" t="s">
        <v>864</v>
      </c>
      <c r="H158" s="6" t="s">
        <v>385</v>
      </c>
      <c r="I158" s="6" t="s">
        <v>680</v>
      </c>
      <c r="J158" s="6" t="s">
        <v>432</v>
      </c>
      <c r="K158" s="6" t="s">
        <v>38</v>
      </c>
      <c r="L158" s="6" t="s">
        <v>492</v>
      </c>
    </row>
    <row r="159" customFormat="false" ht="23.85" hidden="false" customHeight="false" outlineLevel="0" collapsed="false">
      <c r="A159" s="6" t="s">
        <v>235</v>
      </c>
      <c r="B159" s="6" t="s">
        <v>236</v>
      </c>
      <c r="C159" s="6" t="s">
        <v>165</v>
      </c>
      <c r="D159" s="6" t="s">
        <v>402</v>
      </c>
      <c r="E159" s="6" t="s">
        <v>335</v>
      </c>
      <c r="F159" s="6" t="s">
        <v>403</v>
      </c>
      <c r="G159" s="6" t="s">
        <v>404</v>
      </c>
      <c r="H159" s="6" t="s">
        <v>338</v>
      </c>
      <c r="I159" s="6" t="s">
        <v>405</v>
      </c>
      <c r="J159" s="6" t="s">
        <v>340</v>
      </c>
      <c r="K159" s="6" t="s">
        <v>341</v>
      </c>
      <c r="L159" s="6" t="s">
        <v>406</v>
      </c>
    </row>
    <row r="160" customFormat="false" ht="23.85" hidden="false" customHeight="false" outlineLevel="0" collapsed="false">
      <c r="A160" s="6" t="s">
        <v>235</v>
      </c>
      <c r="B160" s="6" t="s">
        <v>236</v>
      </c>
      <c r="C160" s="6" t="s">
        <v>165</v>
      </c>
      <c r="D160" s="6" t="s">
        <v>396</v>
      </c>
      <c r="E160" s="6" t="s">
        <v>335</v>
      </c>
      <c r="F160" s="6" t="s">
        <v>397</v>
      </c>
      <c r="G160" s="6" t="s">
        <v>398</v>
      </c>
      <c r="H160" s="6" t="s">
        <v>338</v>
      </c>
      <c r="I160" s="6" t="s">
        <v>399</v>
      </c>
      <c r="J160" s="6" t="s">
        <v>340</v>
      </c>
      <c r="K160" s="6" t="s">
        <v>400</v>
      </c>
      <c r="L160" s="6" t="s">
        <v>401</v>
      </c>
    </row>
    <row r="161" customFormat="false" ht="23.85" hidden="false" customHeight="false" outlineLevel="0" collapsed="false">
      <c r="A161" s="6" t="s">
        <v>235</v>
      </c>
      <c r="B161" s="6" t="s">
        <v>236</v>
      </c>
      <c r="C161" s="6" t="s">
        <v>165</v>
      </c>
      <c r="D161" s="6" t="s">
        <v>596</v>
      </c>
      <c r="E161" s="6" t="s">
        <v>335</v>
      </c>
      <c r="F161" s="6" t="s">
        <v>597</v>
      </c>
      <c r="G161" s="6" t="s">
        <v>598</v>
      </c>
      <c r="H161" s="6" t="s">
        <v>338</v>
      </c>
      <c r="I161" s="6" t="s">
        <v>399</v>
      </c>
      <c r="J161" s="6" t="s">
        <v>340</v>
      </c>
      <c r="K161" s="6" t="s">
        <v>594</v>
      </c>
      <c r="L161" s="6" t="s">
        <v>599</v>
      </c>
    </row>
    <row r="162" customFormat="false" ht="23.85" hidden="false" customHeight="false" outlineLevel="0" collapsed="false">
      <c r="A162" s="6" t="s">
        <v>244</v>
      </c>
      <c r="B162" s="6" t="s">
        <v>245</v>
      </c>
      <c r="C162" s="6" t="s">
        <v>165</v>
      </c>
      <c r="D162" s="6" t="s">
        <v>633</v>
      </c>
      <c r="E162" s="6" t="s">
        <v>335</v>
      </c>
      <c r="F162" s="6" t="s">
        <v>634</v>
      </c>
      <c r="G162" s="6" t="s">
        <v>635</v>
      </c>
      <c r="H162" s="6" t="s">
        <v>338</v>
      </c>
      <c r="I162" s="6" t="s">
        <v>624</v>
      </c>
      <c r="J162" s="6" t="s">
        <v>340</v>
      </c>
      <c r="K162" s="6" t="s">
        <v>594</v>
      </c>
      <c r="L162" s="6" t="s">
        <v>625</v>
      </c>
    </row>
    <row r="163" customFormat="false" ht="23.85" hidden="false" customHeight="false" outlineLevel="0" collapsed="false">
      <c r="A163" s="6" t="s">
        <v>244</v>
      </c>
      <c r="B163" s="6" t="s">
        <v>245</v>
      </c>
      <c r="C163" s="6" t="s">
        <v>165</v>
      </c>
      <c r="D163" s="6" t="s">
        <v>621</v>
      </c>
      <c r="E163" s="6" t="s">
        <v>335</v>
      </c>
      <c r="F163" s="6" t="s">
        <v>622</v>
      </c>
      <c r="G163" s="6" t="s">
        <v>623</v>
      </c>
      <c r="H163" s="6" t="s">
        <v>448</v>
      </c>
      <c r="I163" s="6" t="s">
        <v>624</v>
      </c>
      <c r="J163" s="6" t="s">
        <v>340</v>
      </c>
      <c r="K163" s="6" t="s">
        <v>594</v>
      </c>
      <c r="L163" s="6" t="s">
        <v>625</v>
      </c>
    </row>
    <row r="164" customFormat="false" ht="23.85" hidden="false" customHeight="false" outlineLevel="0" collapsed="false">
      <c r="A164" s="6" t="s">
        <v>254</v>
      </c>
      <c r="B164" s="6" t="s">
        <v>255</v>
      </c>
      <c r="C164" s="6" t="s">
        <v>256</v>
      </c>
      <c r="D164" s="6" t="s">
        <v>421</v>
      </c>
      <c r="E164" s="6" t="s">
        <v>335</v>
      </c>
      <c r="F164" s="6" t="s">
        <v>422</v>
      </c>
      <c r="G164" s="6" t="s">
        <v>423</v>
      </c>
      <c r="H164" s="6" t="s">
        <v>338</v>
      </c>
      <c r="I164" s="6" t="s">
        <v>424</v>
      </c>
      <c r="J164" s="6" t="s">
        <v>340</v>
      </c>
      <c r="K164" s="6" t="s">
        <v>341</v>
      </c>
      <c r="L164" s="6" t="s">
        <v>425</v>
      </c>
    </row>
    <row r="165" customFormat="false" ht="23.85" hidden="false" customHeight="false" outlineLevel="0" collapsed="false">
      <c r="A165" s="6" t="s">
        <v>254</v>
      </c>
      <c r="B165" s="6" t="s">
        <v>255</v>
      </c>
      <c r="C165" s="6" t="s">
        <v>256</v>
      </c>
      <c r="D165" s="6" t="s">
        <v>426</v>
      </c>
      <c r="E165" s="6" t="s">
        <v>335</v>
      </c>
      <c r="F165" s="6" t="s">
        <v>427</v>
      </c>
      <c r="G165" s="6" t="s">
        <v>428</v>
      </c>
      <c r="H165" s="6" t="s">
        <v>338</v>
      </c>
      <c r="I165" s="6" t="s">
        <v>424</v>
      </c>
      <c r="J165" s="6" t="s">
        <v>340</v>
      </c>
      <c r="K165" s="6" t="s">
        <v>341</v>
      </c>
      <c r="L165" s="6" t="s">
        <v>425</v>
      </c>
    </row>
    <row r="166" customFormat="false" ht="35.05" hidden="false" customHeight="false" outlineLevel="0" collapsed="false">
      <c r="A166" s="6" t="s">
        <v>254</v>
      </c>
      <c r="B166" s="6" t="s">
        <v>255</v>
      </c>
      <c r="C166" s="6" t="s">
        <v>256</v>
      </c>
      <c r="D166" s="6" t="s">
        <v>608</v>
      </c>
      <c r="E166" s="6" t="s">
        <v>335</v>
      </c>
      <c r="F166" s="6" t="s">
        <v>609</v>
      </c>
      <c r="G166" s="6" t="s">
        <v>610</v>
      </c>
      <c r="H166" s="6" t="s">
        <v>448</v>
      </c>
      <c r="I166" s="6" t="s">
        <v>611</v>
      </c>
      <c r="J166" s="6" t="s">
        <v>612</v>
      </c>
      <c r="K166" s="6" t="s">
        <v>341</v>
      </c>
      <c r="L166" s="6" t="s">
        <v>406</v>
      </c>
    </row>
    <row r="167" customFormat="false" ht="35.05" hidden="false" customHeight="false" outlineLevel="0" collapsed="false">
      <c r="A167" s="6" t="s">
        <v>254</v>
      </c>
      <c r="B167" s="6" t="s">
        <v>255</v>
      </c>
      <c r="C167" s="6" t="s">
        <v>256</v>
      </c>
      <c r="D167" s="6" t="s">
        <v>613</v>
      </c>
      <c r="E167" s="6" t="s">
        <v>335</v>
      </c>
      <c r="F167" s="6" t="s">
        <v>609</v>
      </c>
      <c r="G167" s="6" t="s">
        <v>614</v>
      </c>
      <c r="H167" s="6" t="s">
        <v>338</v>
      </c>
      <c r="I167" s="6" t="s">
        <v>615</v>
      </c>
      <c r="J167" s="6" t="s">
        <v>612</v>
      </c>
      <c r="K167" s="6" t="s">
        <v>341</v>
      </c>
      <c r="L167" s="6" t="s">
        <v>406</v>
      </c>
    </row>
    <row r="168" customFormat="false" ht="35.05" hidden="false" customHeight="false" outlineLevel="0" collapsed="false">
      <c r="A168" s="6" t="s">
        <v>266</v>
      </c>
      <c r="B168" s="6" t="s">
        <v>267</v>
      </c>
      <c r="C168" s="6" t="s">
        <v>256</v>
      </c>
      <c r="D168" s="6" t="s">
        <v>865</v>
      </c>
      <c r="E168" s="6" t="s">
        <v>390</v>
      </c>
      <c r="F168" s="6" t="s">
        <v>866</v>
      </c>
      <c r="G168" s="6" t="s">
        <v>867</v>
      </c>
      <c r="H168" s="6" t="s">
        <v>448</v>
      </c>
      <c r="I168" s="6" t="s">
        <v>868</v>
      </c>
      <c r="J168" s="6" t="s">
        <v>869</v>
      </c>
      <c r="K168" s="6" t="s">
        <v>95</v>
      </c>
      <c r="L168" s="6" t="s">
        <v>744</v>
      </c>
    </row>
    <row r="169" customFormat="false" ht="23.85" hidden="false" customHeight="false" outlineLevel="0" collapsed="false">
      <c r="A169" s="6" t="s">
        <v>266</v>
      </c>
      <c r="B169" s="6" t="s">
        <v>267</v>
      </c>
      <c r="C169" s="6" t="s">
        <v>256</v>
      </c>
      <c r="D169" s="6" t="s">
        <v>850</v>
      </c>
      <c r="E169" s="6" t="s">
        <v>390</v>
      </c>
      <c r="F169" s="6" t="s">
        <v>851</v>
      </c>
      <c r="G169" s="6" t="s">
        <v>852</v>
      </c>
      <c r="H169" s="6" t="s">
        <v>448</v>
      </c>
      <c r="I169" s="6" t="s">
        <v>853</v>
      </c>
      <c r="J169" s="6" t="s">
        <v>854</v>
      </c>
      <c r="K169" s="6" t="s">
        <v>365</v>
      </c>
      <c r="L169" s="6" t="s">
        <v>744</v>
      </c>
    </row>
    <row r="170" customFormat="false" ht="23.85" hidden="false" customHeight="false" outlineLevel="0" collapsed="false">
      <c r="A170" s="6" t="s">
        <v>266</v>
      </c>
      <c r="B170" s="6" t="s">
        <v>267</v>
      </c>
      <c r="C170" s="6" t="s">
        <v>256</v>
      </c>
      <c r="D170" s="6" t="s">
        <v>801</v>
      </c>
      <c r="E170" s="6" t="s">
        <v>415</v>
      </c>
      <c r="F170" s="6" t="s">
        <v>802</v>
      </c>
      <c r="G170" s="6" t="s">
        <v>803</v>
      </c>
      <c r="H170" s="6" t="s">
        <v>448</v>
      </c>
      <c r="I170" s="6" t="s">
        <v>804</v>
      </c>
      <c r="J170" s="6" t="s">
        <v>805</v>
      </c>
      <c r="K170" s="6" t="s">
        <v>95</v>
      </c>
      <c r="L170" s="6" t="s">
        <v>655</v>
      </c>
    </row>
    <row r="171" customFormat="false" ht="23.85" hidden="false" customHeight="false" outlineLevel="0" collapsed="false">
      <c r="A171" s="6" t="s">
        <v>266</v>
      </c>
      <c r="B171" s="6" t="s">
        <v>267</v>
      </c>
      <c r="C171" s="6" t="s">
        <v>256</v>
      </c>
      <c r="D171" s="6" t="s">
        <v>806</v>
      </c>
      <c r="E171" s="6" t="s">
        <v>415</v>
      </c>
      <c r="F171" s="6" t="s">
        <v>807</v>
      </c>
      <c r="G171" s="6" t="s">
        <v>808</v>
      </c>
      <c r="H171" s="6" t="s">
        <v>448</v>
      </c>
      <c r="I171" s="6" t="s">
        <v>809</v>
      </c>
      <c r="J171" s="6" t="s">
        <v>805</v>
      </c>
      <c r="K171" s="6" t="s">
        <v>61</v>
      </c>
      <c r="L171" s="6" t="s">
        <v>655</v>
      </c>
    </row>
    <row r="172" customFormat="false" ht="23.85" hidden="false" customHeight="false" outlineLevel="0" collapsed="false">
      <c r="A172" s="6" t="s">
        <v>277</v>
      </c>
      <c r="B172" s="6" t="s">
        <v>278</v>
      </c>
      <c r="C172" s="6" t="s">
        <v>256</v>
      </c>
      <c r="D172" s="6" t="s">
        <v>407</v>
      </c>
      <c r="E172" s="6" t="s">
        <v>335</v>
      </c>
      <c r="F172" s="6" t="s">
        <v>408</v>
      </c>
      <c r="G172" s="6" t="s">
        <v>409</v>
      </c>
      <c r="H172" s="6" t="s">
        <v>338</v>
      </c>
      <c r="I172" s="6" t="s">
        <v>405</v>
      </c>
      <c r="J172" s="6" t="s">
        <v>340</v>
      </c>
      <c r="K172" s="6" t="s">
        <v>341</v>
      </c>
      <c r="L172" s="6" t="s">
        <v>406</v>
      </c>
    </row>
    <row r="173" customFormat="false" ht="46.25" hidden="false" customHeight="false" outlineLevel="0" collapsed="false">
      <c r="A173" s="6" t="s">
        <v>277</v>
      </c>
      <c r="B173" s="6" t="s">
        <v>278</v>
      </c>
      <c r="C173" s="6" t="s">
        <v>256</v>
      </c>
      <c r="D173" s="6" t="s">
        <v>353</v>
      </c>
      <c r="E173" s="6" t="s">
        <v>335</v>
      </c>
      <c r="F173" s="6" t="s">
        <v>354</v>
      </c>
      <c r="G173" s="6" t="s">
        <v>355</v>
      </c>
      <c r="H173" s="6" t="s">
        <v>338</v>
      </c>
      <c r="I173" s="6" t="s">
        <v>356</v>
      </c>
      <c r="J173" s="6" t="s">
        <v>340</v>
      </c>
      <c r="K173" s="6" t="s">
        <v>341</v>
      </c>
      <c r="L173" s="6" t="s">
        <v>357</v>
      </c>
    </row>
    <row r="174" customFormat="false" ht="23.85" hidden="false" customHeight="false" outlineLevel="0" collapsed="false">
      <c r="A174" s="6" t="s">
        <v>277</v>
      </c>
      <c r="B174" s="6" t="s">
        <v>278</v>
      </c>
      <c r="C174" s="6" t="s">
        <v>256</v>
      </c>
      <c r="D174" s="6" t="s">
        <v>487</v>
      </c>
      <c r="E174" s="6" t="s">
        <v>382</v>
      </c>
      <c r="F174" s="6" t="s">
        <v>488</v>
      </c>
      <c r="G174" s="6" t="s">
        <v>489</v>
      </c>
      <c r="H174" s="6" t="s">
        <v>368</v>
      </c>
      <c r="I174" s="6" t="s">
        <v>490</v>
      </c>
      <c r="J174" s="6" t="s">
        <v>491</v>
      </c>
      <c r="K174" s="6" t="s">
        <v>365</v>
      </c>
      <c r="L174" s="6" t="s">
        <v>492</v>
      </c>
    </row>
    <row r="175" customFormat="false" ht="23.85" hidden="false" customHeight="false" outlineLevel="0" collapsed="false">
      <c r="A175" s="6" t="s">
        <v>277</v>
      </c>
      <c r="B175" s="6" t="s">
        <v>278</v>
      </c>
      <c r="C175" s="6" t="s">
        <v>256</v>
      </c>
      <c r="D175" s="6" t="s">
        <v>713</v>
      </c>
      <c r="E175" s="6" t="s">
        <v>382</v>
      </c>
      <c r="F175" s="6" t="s">
        <v>488</v>
      </c>
      <c r="G175" s="6" t="s">
        <v>714</v>
      </c>
      <c r="H175" s="6" t="s">
        <v>448</v>
      </c>
      <c r="I175" s="6" t="s">
        <v>715</v>
      </c>
      <c r="J175" s="6" t="s">
        <v>716</v>
      </c>
      <c r="K175" s="6" t="s">
        <v>125</v>
      </c>
      <c r="L175" s="6" t="s">
        <v>492</v>
      </c>
    </row>
    <row r="176" customFormat="false" ht="23.85" hidden="false" customHeight="false" outlineLevel="0" collapsed="false">
      <c r="A176" s="6" t="s">
        <v>286</v>
      </c>
      <c r="B176" s="6" t="s">
        <v>287</v>
      </c>
      <c r="C176" s="6" t="s">
        <v>256</v>
      </c>
      <c r="D176" s="6" t="s">
        <v>806</v>
      </c>
      <c r="E176" s="6" t="s">
        <v>415</v>
      </c>
      <c r="F176" s="6" t="s">
        <v>807</v>
      </c>
      <c r="G176" s="6" t="s">
        <v>808</v>
      </c>
      <c r="H176" s="6" t="s">
        <v>448</v>
      </c>
      <c r="I176" s="6" t="s">
        <v>809</v>
      </c>
      <c r="J176" s="6" t="s">
        <v>805</v>
      </c>
      <c r="K176" s="6" t="s">
        <v>61</v>
      </c>
      <c r="L176" s="6" t="s">
        <v>655</v>
      </c>
    </row>
    <row r="177" customFormat="false" ht="23.85" hidden="false" customHeight="false" outlineLevel="0" collapsed="false">
      <c r="A177" s="6" t="s">
        <v>286</v>
      </c>
      <c r="B177" s="6" t="s">
        <v>287</v>
      </c>
      <c r="C177" s="6" t="s">
        <v>256</v>
      </c>
      <c r="D177" s="6" t="s">
        <v>810</v>
      </c>
      <c r="E177" s="6" t="s">
        <v>415</v>
      </c>
      <c r="F177" s="6" t="s">
        <v>811</v>
      </c>
      <c r="G177" s="6" t="s">
        <v>812</v>
      </c>
      <c r="H177" s="6" t="s">
        <v>338</v>
      </c>
      <c r="I177" s="6" t="s">
        <v>813</v>
      </c>
      <c r="J177" s="6" t="s">
        <v>340</v>
      </c>
      <c r="K177" s="6" t="s">
        <v>61</v>
      </c>
      <c r="L177" s="6" t="s">
        <v>655</v>
      </c>
    </row>
    <row r="178" customFormat="false" ht="35.05" hidden="false" customHeight="false" outlineLevel="0" collapsed="false">
      <c r="A178" s="6" t="s">
        <v>286</v>
      </c>
      <c r="B178" s="6" t="s">
        <v>287</v>
      </c>
      <c r="C178" s="6" t="s">
        <v>256</v>
      </c>
      <c r="D178" s="6" t="s">
        <v>779</v>
      </c>
      <c r="E178" s="6" t="s">
        <v>390</v>
      </c>
      <c r="F178" s="6" t="s">
        <v>776</v>
      </c>
      <c r="G178" s="6" t="s">
        <v>780</v>
      </c>
      <c r="H178" s="6" t="s">
        <v>385</v>
      </c>
      <c r="I178" s="6" t="s">
        <v>781</v>
      </c>
      <c r="J178" s="6" t="s">
        <v>782</v>
      </c>
      <c r="K178" s="6" t="s">
        <v>365</v>
      </c>
      <c r="L178" s="6" t="s">
        <v>744</v>
      </c>
    </row>
    <row r="179" customFormat="false" ht="23.85" hidden="false" customHeight="false" outlineLevel="0" collapsed="false">
      <c r="A179" s="6" t="s">
        <v>295</v>
      </c>
      <c r="B179" s="6" t="s">
        <v>296</v>
      </c>
      <c r="C179" s="6" t="s">
        <v>256</v>
      </c>
      <c r="D179" s="6" t="s">
        <v>870</v>
      </c>
      <c r="E179" s="6" t="s">
        <v>359</v>
      </c>
      <c r="F179" s="6" t="s">
        <v>617</v>
      </c>
      <c r="G179" s="6" t="s">
        <v>871</v>
      </c>
      <c r="H179" s="6" t="s">
        <v>368</v>
      </c>
      <c r="I179" s="6" t="s">
        <v>872</v>
      </c>
      <c r="J179" s="6" t="s">
        <v>364</v>
      </c>
      <c r="K179" s="6" t="s">
        <v>365</v>
      </c>
      <c r="L179" s="6" t="s">
        <v>371</v>
      </c>
    </row>
    <row r="180" customFormat="false" ht="23.85" hidden="false" customHeight="false" outlineLevel="0" collapsed="false">
      <c r="A180" s="6" t="s">
        <v>295</v>
      </c>
      <c r="B180" s="6" t="s">
        <v>296</v>
      </c>
      <c r="C180" s="6" t="s">
        <v>256</v>
      </c>
      <c r="D180" s="6" t="s">
        <v>616</v>
      </c>
      <c r="E180" s="6" t="s">
        <v>359</v>
      </c>
      <c r="F180" s="6" t="s">
        <v>617</v>
      </c>
      <c r="G180" s="6" t="s">
        <v>618</v>
      </c>
      <c r="H180" s="6" t="s">
        <v>393</v>
      </c>
      <c r="I180" s="6" t="s">
        <v>619</v>
      </c>
      <c r="J180" s="6" t="s">
        <v>620</v>
      </c>
      <c r="K180" s="6" t="s">
        <v>365</v>
      </c>
      <c r="L180" s="6" t="s">
        <v>371</v>
      </c>
    </row>
    <row r="181" customFormat="false" ht="23.85" hidden="false" customHeight="false" outlineLevel="0" collapsed="false">
      <c r="A181" s="6" t="s">
        <v>295</v>
      </c>
      <c r="B181" s="6" t="s">
        <v>296</v>
      </c>
      <c r="C181" s="6" t="s">
        <v>256</v>
      </c>
      <c r="D181" s="6" t="s">
        <v>873</v>
      </c>
      <c r="E181" s="6" t="s">
        <v>359</v>
      </c>
      <c r="F181" s="6" t="s">
        <v>471</v>
      </c>
      <c r="G181" s="6" t="s">
        <v>874</v>
      </c>
      <c r="H181" s="6" t="s">
        <v>385</v>
      </c>
      <c r="I181" s="6" t="s">
        <v>875</v>
      </c>
      <c r="J181" s="6" t="s">
        <v>364</v>
      </c>
      <c r="K181" s="6" t="s">
        <v>365</v>
      </c>
      <c r="L181" s="6" t="s">
        <v>371</v>
      </c>
    </row>
    <row r="182" customFormat="false" ht="23.85" hidden="false" customHeight="false" outlineLevel="0" collapsed="false">
      <c r="A182" s="6" t="s">
        <v>305</v>
      </c>
      <c r="B182" s="6" t="s">
        <v>306</v>
      </c>
      <c r="C182" s="6" t="s">
        <v>256</v>
      </c>
      <c r="D182" s="6" t="s">
        <v>876</v>
      </c>
      <c r="E182" s="6" t="s">
        <v>842</v>
      </c>
      <c r="F182" s="6" t="s">
        <v>877</v>
      </c>
      <c r="G182" s="6" t="s">
        <v>878</v>
      </c>
      <c r="H182" s="6" t="s">
        <v>338</v>
      </c>
      <c r="I182" s="6" t="s">
        <v>879</v>
      </c>
      <c r="J182" s="6" t="s">
        <v>364</v>
      </c>
      <c r="K182" s="6" t="s">
        <v>482</v>
      </c>
      <c r="L182" s="6" t="s">
        <v>880</v>
      </c>
    </row>
    <row r="183" customFormat="false" ht="23.85" hidden="false" customHeight="false" outlineLevel="0" collapsed="false">
      <c r="A183" s="6" t="s">
        <v>305</v>
      </c>
      <c r="B183" s="6" t="s">
        <v>306</v>
      </c>
      <c r="C183" s="6" t="s">
        <v>256</v>
      </c>
      <c r="D183" s="6" t="s">
        <v>881</v>
      </c>
      <c r="E183" s="6" t="s">
        <v>842</v>
      </c>
      <c r="F183" s="6" t="s">
        <v>877</v>
      </c>
      <c r="G183" s="6" t="s">
        <v>882</v>
      </c>
      <c r="H183" s="6" t="s">
        <v>385</v>
      </c>
      <c r="I183" s="6" t="s">
        <v>879</v>
      </c>
      <c r="J183" s="6" t="s">
        <v>364</v>
      </c>
      <c r="K183" s="6" t="s">
        <v>365</v>
      </c>
      <c r="L183" s="6" t="s">
        <v>586</v>
      </c>
    </row>
    <row r="184" customFormat="false" ht="23.85" hidden="false" customHeight="false" outlineLevel="0" collapsed="false">
      <c r="A184" s="6" t="s">
        <v>305</v>
      </c>
      <c r="B184" s="6" t="s">
        <v>306</v>
      </c>
      <c r="C184" s="6" t="s">
        <v>256</v>
      </c>
      <c r="D184" s="6" t="s">
        <v>883</v>
      </c>
      <c r="E184" s="6" t="s">
        <v>842</v>
      </c>
      <c r="F184" s="6" t="s">
        <v>877</v>
      </c>
      <c r="G184" s="6" t="s">
        <v>884</v>
      </c>
      <c r="H184" s="6" t="s">
        <v>368</v>
      </c>
      <c r="I184" s="6" t="s">
        <v>879</v>
      </c>
      <c r="J184" s="6" t="s">
        <v>364</v>
      </c>
      <c r="K184" s="6" t="s">
        <v>365</v>
      </c>
      <c r="L184" s="6" t="s">
        <v>586</v>
      </c>
    </row>
    <row r="185" customFormat="false" ht="23.85" hidden="false" customHeight="false" outlineLevel="0" collapsed="false">
      <c r="A185" s="6" t="s">
        <v>305</v>
      </c>
      <c r="B185" s="6" t="s">
        <v>306</v>
      </c>
      <c r="C185" s="6" t="s">
        <v>256</v>
      </c>
      <c r="D185" s="6" t="s">
        <v>885</v>
      </c>
      <c r="E185" s="6" t="s">
        <v>842</v>
      </c>
      <c r="F185" s="6" t="s">
        <v>886</v>
      </c>
      <c r="G185" s="6" t="s">
        <v>887</v>
      </c>
      <c r="H185" s="6" t="s">
        <v>338</v>
      </c>
      <c r="I185" s="6" t="s">
        <v>888</v>
      </c>
      <c r="J185" s="6" t="s">
        <v>889</v>
      </c>
      <c r="K185" s="6" t="s">
        <v>365</v>
      </c>
      <c r="L185" s="6" t="s">
        <v>586</v>
      </c>
    </row>
    <row r="186" customFormat="false" ht="23.85" hidden="false" customHeight="false" outlineLevel="0" collapsed="false">
      <c r="A186" s="6" t="s">
        <v>305</v>
      </c>
      <c r="B186" s="6" t="s">
        <v>306</v>
      </c>
      <c r="C186" s="6" t="s">
        <v>256</v>
      </c>
      <c r="D186" s="6" t="s">
        <v>890</v>
      </c>
      <c r="E186" s="6" t="s">
        <v>842</v>
      </c>
      <c r="F186" s="6" t="s">
        <v>886</v>
      </c>
      <c r="G186" s="6" t="s">
        <v>891</v>
      </c>
      <c r="H186" s="6" t="s">
        <v>368</v>
      </c>
      <c r="I186" s="6" t="s">
        <v>892</v>
      </c>
      <c r="J186" s="6" t="s">
        <v>889</v>
      </c>
      <c r="K186" s="6" t="s">
        <v>365</v>
      </c>
      <c r="L186" s="6" t="s">
        <v>586</v>
      </c>
    </row>
    <row r="187" customFormat="false" ht="23.85" hidden="false" customHeight="false" outlineLevel="0" collapsed="false">
      <c r="A187" s="6" t="s">
        <v>305</v>
      </c>
      <c r="B187" s="6" t="s">
        <v>306</v>
      </c>
      <c r="C187" s="6" t="s">
        <v>256</v>
      </c>
      <c r="D187" s="6" t="s">
        <v>893</v>
      </c>
      <c r="E187" s="6" t="s">
        <v>359</v>
      </c>
      <c r="F187" s="6" t="s">
        <v>894</v>
      </c>
      <c r="G187" s="6" t="s">
        <v>895</v>
      </c>
      <c r="H187" s="6" t="s">
        <v>385</v>
      </c>
      <c r="I187" s="6" t="s">
        <v>896</v>
      </c>
      <c r="J187" s="6" t="s">
        <v>364</v>
      </c>
      <c r="K187" s="6" t="s">
        <v>365</v>
      </c>
      <c r="L187" s="6" t="s">
        <v>371</v>
      </c>
    </row>
    <row r="188" customFormat="false" ht="23.85" hidden="false" customHeight="false" outlineLevel="0" collapsed="false">
      <c r="A188" s="6" t="s">
        <v>305</v>
      </c>
      <c r="B188" s="6" t="s">
        <v>306</v>
      </c>
      <c r="C188" s="6" t="s">
        <v>256</v>
      </c>
      <c r="D188" s="6" t="s">
        <v>897</v>
      </c>
      <c r="E188" s="6" t="s">
        <v>359</v>
      </c>
      <c r="F188" s="6" t="s">
        <v>894</v>
      </c>
      <c r="G188" s="6" t="s">
        <v>898</v>
      </c>
      <c r="H188" s="6" t="s">
        <v>368</v>
      </c>
      <c r="I188" s="6" t="s">
        <v>896</v>
      </c>
      <c r="J188" s="6" t="s">
        <v>364</v>
      </c>
      <c r="K188" s="6" t="s">
        <v>365</v>
      </c>
      <c r="L188" s="6" t="s">
        <v>371</v>
      </c>
    </row>
    <row r="189" customFormat="false" ht="23.85" hidden="false" customHeight="false" outlineLevel="0" collapsed="false">
      <c r="A189" s="6" t="s">
        <v>305</v>
      </c>
      <c r="B189" s="6" t="s">
        <v>306</v>
      </c>
      <c r="C189" s="6" t="s">
        <v>256</v>
      </c>
      <c r="D189" s="6" t="s">
        <v>819</v>
      </c>
      <c r="E189" s="6" t="s">
        <v>415</v>
      </c>
      <c r="F189" s="6" t="s">
        <v>788</v>
      </c>
      <c r="G189" s="6" t="s">
        <v>820</v>
      </c>
      <c r="H189" s="6" t="s">
        <v>385</v>
      </c>
      <c r="I189" s="6" t="s">
        <v>821</v>
      </c>
      <c r="J189" s="6" t="s">
        <v>340</v>
      </c>
      <c r="K189" s="6" t="s">
        <v>365</v>
      </c>
      <c r="L189" s="6" t="s">
        <v>655</v>
      </c>
    </row>
    <row r="190" customFormat="false" ht="23.85" hidden="false" customHeight="false" outlineLevel="0" collapsed="false">
      <c r="A190" s="6" t="s">
        <v>315</v>
      </c>
      <c r="B190" s="6" t="s">
        <v>316</v>
      </c>
      <c r="C190" s="6" t="s">
        <v>256</v>
      </c>
      <c r="D190" s="6" t="s">
        <v>454</v>
      </c>
      <c r="E190" s="6" t="s">
        <v>359</v>
      </c>
      <c r="F190" s="6" t="s">
        <v>446</v>
      </c>
      <c r="G190" s="6" t="s">
        <v>455</v>
      </c>
      <c r="H190" s="6" t="s">
        <v>368</v>
      </c>
      <c r="I190" s="6" t="s">
        <v>456</v>
      </c>
      <c r="J190" s="6" t="s">
        <v>450</v>
      </c>
      <c r="K190" s="6" t="s">
        <v>365</v>
      </c>
      <c r="L190" s="6" t="s">
        <v>371</v>
      </c>
    </row>
    <row r="191" customFormat="false" ht="23.85" hidden="false" customHeight="false" outlineLevel="0" collapsed="false">
      <c r="A191" s="6" t="s">
        <v>315</v>
      </c>
      <c r="B191" s="6" t="s">
        <v>316</v>
      </c>
      <c r="C191" s="6" t="s">
        <v>256</v>
      </c>
      <c r="D191" s="6" t="s">
        <v>457</v>
      </c>
      <c r="E191" s="6" t="s">
        <v>359</v>
      </c>
      <c r="F191" s="6" t="s">
        <v>446</v>
      </c>
      <c r="G191" s="6" t="s">
        <v>458</v>
      </c>
      <c r="H191" s="6" t="s">
        <v>368</v>
      </c>
      <c r="I191" s="6" t="s">
        <v>459</v>
      </c>
      <c r="J191" s="6" t="s">
        <v>460</v>
      </c>
      <c r="K191" s="6" t="s">
        <v>365</v>
      </c>
      <c r="L191" s="6" t="s">
        <v>371</v>
      </c>
    </row>
    <row r="192" customFormat="false" ht="23.85" hidden="false" customHeight="false" outlineLevel="0" collapsed="false">
      <c r="A192" s="6" t="s">
        <v>315</v>
      </c>
      <c r="B192" s="6" t="s">
        <v>316</v>
      </c>
      <c r="C192" s="6" t="s">
        <v>256</v>
      </c>
      <c r="D192" s="6" t="s">
        <v>709</v>
      </c>
      <c r="E192" s="6" t="s">
        <v>382</v>
      </c>
      <c r="F192" s="6" t="s">
        <v>710</v>
      </c>
      <c r="G192" s="6" t="s">
        <v>711</v>
      </c>
      <c r="H192" s="6" t="s">
        <v>368</v>
      </c>
      <c r="I192" s="6" t="s">
        <v>712</v>
      </c>
      <c r="J192" s="6" t="s">
        <v>481</v>
      </c>
      <c r="K192" s="6" t="s">
        <v>38</v>
      </c>
      <c r="L192" s="6" t="s">
        <v>492</v>
      </c>
    </row>
    <row r="193" customFormat="false" ht="23.85" hidden="false" customHeight="false" outlineLevel="0" collapsed="false">
      <c r="A193" s="6" t="s">
        <v>315</v>
      </c>
      <c r="B193" s="6" t="s">
        <v>316</v>
      </c>
      <c r="C193" s="6" t="s">
        <v>256</v>
      </c>
      <c r="D193" s="6" t="s">
        <v>846</v>
      </c>
      <c r="E193" s="6" t="s">
        <v>842</v>
      </c>
      <c r="F193" s="6" t="s">
        <v>847</v>
      </c>
      <c r="G193" s="6" t="s">
        <v>848</v>
      </c>
      <c r="H193" s="6" t="s">
        <v>368</v>
      </c>
      <c r="I193" s="6" t="s">
        <v>849</v>
      </c>
      <c r="J193" s="6" t="s">
        <v>444</v>
      </c>
      <c r="K193" s="6" t="s">
        <v>365</v>
      </c>
      <c r="L193" s="6" t="s">
        <v>586</v>
      </c>
    </row>
  </sheetData>
  <autoFilter ref="A1:L1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20"/>
  </cols>
  <sheetData>
    <row r="1" customFormat="false" ht="16.15" hidden="false" customHeight="false" outlineLevel="0" collapsed="false">
      <c r="A1" s="8" t="s">
        <v>899</v>
      </c>
    </row>
    <row r="3" customFormat="false" ht="15" hidden="false" customHeight="false" outlineLevel="0" collapsed="false">
      <c r="A3" s="9" t="s">
        <v>15</v>
      </c>
      <c r="B3" s="9" t="s">
        <v>900</v>
      </c>
      <c r="C3" s="9" t="s">
        <v>901</v>
      </c>
      <c r="D3" s="9" t="s">
        <v>902</v>
      </c>
    </row>
    <row r="4" customFormat="false" ht="15" hidden="false" customHeight="false" outlineLevel="0" collapsed="false">
      <c r="A4" s="10" t="s">
        <v>32</v>
      </c>
      <c r="B4" s="10" t="n">
        <f aca="false">COUNTIF(Projects!$C:$C,A4)</f>
        <v>5</v>
      </c>
      <c r="C4" s="10" t="n">
        <f aca="false">COUNTIFS(Projects!$C:$C,A4,Projects!$G:$G,"Critical")</f>
        <v>3</v>
      </c>
      <c r="D4" s="10" t="n">
        <f aca="false">COUNTIF('Rule Traceability'!$C:$C,A4)</f>
        <v>19</v>
      </c>
    </row>
    <row r="5" customFormat="false" ht="15" hidden="false" customHeight="false" outlineLevel="0" collapsed="false">
      <c r="A5" s="10" t="s">
        <v>90</v>
      </c>
      <c r="B5" s="10" t="n">
        <f aca="false">COUNTIF(Projects!$C:$C,A5)</f>
        <v>7</v>
      </c>
      <c r="C5" s="10" t="n">
        <f aca="false">COUNTIFS(Projects!$C:$C,A5,Projects!$G:$G,"Critical")</f>
        <v>5</v>
      </c>
      <c r="D5" s="10" t="n">
        <f aca="false">COUNTIF('Rule Traceability'!$C:$C,A5)</f>
        <v>75</v>
      </c>
    </row>
    <row r="6" customFormat="false" ht="15" hidden="false" customHeight="false" outlineLevel="0" collapsed="false">
      <c r="A6" s="10" t="s">
        <v>165</v>
      </c>
      <c r="B6" s="10" t="n">
        <f aca="false">COUNTIF(Projects!$C:$C,A6)</f>
        <v>9</v>
      </c>
      <c r="C6" s="10" t="n">
        <f aca="false">COUNTIFS(Projects!$C:$C,A6,Projects!$G:$G,"Critical")</f>
        <v>1</v>
      </c>
      <c r="D6" s="10" t="n">
        <f aca="false">COUNTIF('Rule Traceability'!$C:$C,A6)</f>
        <v>68</v>
      </c>
    </row>
    <row r="7" customFormat="false" ht="15" hidden="false" customHeight="false" outlineLevel="0" collapsed="false">
      <c r="A7" s="10" t="s">
        <v>256</v>
      </c>
      <c r="B7" s="10" t="n">
        <f aca="false">COUNTIF(Projects!$C:$C,A7)</f>
        <v>7</v>
      </c>
      <c r="C7" s="10" t="n">
        <f aca="false">COUNTIFS(Projects!$C:$C,A7,Projects!$G:$G,"Critical")</f>
        <v>0</v>
      </c>
      <c r="D7" s="10" t="n">
        <f aca="false">COUNTIF('Rule Traceability'!$C:$C,A7)</f>
        <v>30</v>
      </c>
    </row>
    <row r="8" customFormat="false" ht="15" hidden="false" customHeight="false" outlineLevel="0" collapsed="false">
      <c r="A8" s="11" t="s">
        <v>903</v>
      </c>
      <c r="B8" s="11" t="n">
        <f aca="false">SUM(B4:B7)</f>
        <v>28</v>
      </c>
      <c r="C8" s="11" t="n">
        <f aca="false">SUM(C4:C7)</f>
        <v>9</v>
      </c>
      <c r="D8" s="11" t="n">
        <f aca="false">SUM(D4:D7)</f>
        <v>192</v>
      </c>
    </row>
    <row r="11" customFormat="false" ht="15" hidden="false" customHeight="false" outlineLevel="0" collapsed="false">
      <c r="A11" s="9" t="s">
        <v>904</v>
      </c>
      <c r="B11" s="9" t="s">
        <v>905</v>
      </c>
      <c r="C11" s="9" t="s">
        <v>906</v>
      </c>
      <c r="D11" s="9" t="s">
        <v>907</v>
      </c>
    </row>
    <row r="12" customFormat="false" ht="15" hidden="false" customHeight="false" outlineLevel="0" collapsed="false">
      <c r="A12" s="10" t="s">
        <v>359</v>
      </c>
      <c r="B12" s="10" t="n">
        <f aca="false">COUNTIF(Register!$B:$B,A12)</f>
        <v>29</v>
      </c>
      <c r="C12" s="10" t="n">
        <f aca="false">COUNTIF('Rule Traceability'!$E:$E,A12)</f>
        <v>35</v>
      </c>
      <c r="D12" s="10" t="n">
        <f aca="false">COUNTIFS(Register!$B:$B,A12,Register!$D:$D,0)</f>
        <v>0</v>
      </c>
    </row>
    <row r="13" customFormat="false" ht="15" hidden="false" customHeight="false" outlineLevel="0" collapsed="false">
      <c r="A13" s="10" t="s">
        <v>376</v>
      </c>
      <c r="B13" s="10" t="n">
        <f aca="false">COUNTIF(Register!$B:$B,A13)</f>
        <v>22</v>
      </c>
      <c r="C13" s="10" t="n">
        <f aca="false">COUNTIF('Rule Traceability'!$E:$E,A13)</f>
        <v>25</v>
      </c>
      <c r="D13" s="10" t="n">
        <f aca="false">COUNTIFS(Register!$B:$B,A13,Register!$D:$D,0)</f>
        <v>0</v>
      </c>
    </row>
    <row r="14" customFormat="false" ht="15" hidden="false" customHeight="false" outlineLevel="0" collapsed="false">
      <c r="A14" s="10" t="s">
        <v>382</v>
      </c>
      <c r="B14" s="10" t="n">
        <f aca="false">COUNTIF(Register!$B:$B,A14)</f>
        <v>22</v>
      </c>
      <c r="C14" s="10" t="n">
        <f aca="false">COUNTIF('Rule Traceability'!$E:$E,A14)</f>
        <v>26</v>
      </c>
      <c r="D14" s="10" t="n">
        <f aca="false">COUNTIFS(Register!$B:$B,A14,Register!$D:$D,0)</f>
        <v>0</v>
      </c>
    </row>
    <row r="15" customFormat="false" ht="15" hidden="false" customHeight="false" outlineLevel="0" collapsed="false">
      <c r="A15" s="10" t="s">
        <v>390</v>
      </c>
      <c r="B15" s="10" t="n">
        <f aca="false">COUNTIF(Register!$B:$B,A15)</f>
        <v>17</v>
      </c>
      <c r="C15" s="10" t="n">
        <f aca="false">COUNTIF('Rule Traceability'!$E:$E,A15)</f>
        <v>21</v>
      </c>
      <c r="D15" s="10" t="n">
        <f aca="false">COUNTIFS(Register!$B:$B,A15,Register!$D:$D,0)</f>
        <v>0</v>
      </c>
    </row>
    <row r="16" customFormat="false" ht="15" hidden="false" customHeight="false" outlineLevel="0" collapsed="false">
      <c r="A16" s="10" t="s">
        <v>415</v>
      </c>
      <c r="B16" s="10" t="n">
        <f aca="false">COUNTIF(Register!$B:$B,A16)</f>
        <v>21</v>
      </c>
      <c r="C16" s="10" t="n">
        <f aca="false">COUNTIF('Rule Traceability'!$E:$E,A16)</f>
        <v>33</v>
      </c>
      <c r="D16" s="10" t="n">
        <f aca="false">COUNTIFS(Register!$B:$B,A16,Register!$D:$D,0)</f>
        <v>0</v>
      </c>
    </row>
    <row r="17" customFormat="false" ht="15" hidden="false" customHeight="false" outlineLevel="0" collapsed="false">
      <c r="A17" s="10" t="s">
        <v>842</v>
      </c>
      <c r="B17" s="10" t="n">
        <f aca="false">COUNTIF(Register!$B:$B,A17)</f>
        <v>7</v>
      </c>
      <c r="C17" s="10" t="n">
        <f aca="false">COUNTIF('Rule Traceability'!$E:$E,A17)</f>
        <v>9</v>
      </c>
      <c r="D17" s="10" t="n">
        <f aca="false">COUNTIFS(Register!$B:$B,A17,Register!$D:$D,0)</f>
        <v>0</v>
      </c>
    </row>
    <row r="18" customFormat="false" ht="15" hidden="false" customHeight="false" outlineLevel="0" collapsed="false">
      <c r="A18" s="10" t="s">
        <v>335</v>
      </c>
      <c r="B18" s="10" t="n">
        <f aca="false">COUNTIF(Register!$B:$B,A18)</f>
        <v>24</v>
      </c>
      <c r="C18" s="10" t="n">
        <f aca="false">COUNTIF('Rule Traceability'!$E:$E,A18)</f>
        <v>43</v>
      </c>
      <c r="D18" s="10" t="n">
        <f aca="false">COUNTIFS(Register!$B:$B,A18,Register!$D:$D,0)</f>
        <v>0</v>
      </c>
    </row>
    <row r="19" customFormat="false" ht="15" hidden="false" customHeight="false" outlineLevel="0" collapsed="false">
      <c r="A19" s="11" t="s">
        <v>903</v>
      </c>
      <c r="B19" s="11" t="n">
        <f aca="false">SUM(B12:B18)</f>
        <v>142</v>
      </c>
      <c r="C19" s="11" t="n">
        <f aca="false">SUM(C12:C18)</f>
        <v>192</v>
      </c>
      <c r="D19" s="11" t="n">
        <f aca="false">SUM(D12:D18)</f>
        <v>0</v>
      </c>
    </row>
    <row r="22" customFormat="false" ht="15" hidden="false" customHeight="false" outlineLevel="0" collapsed="false">
      <c r="A22" s="9" t="s">
        <v>908</v>
      </c>
      <c r="B22" s="9" t="s">
        <v>909</v>
      </c>
    </row>
    <row r="23" customFormat="false" ht="15" hidden="false" customHeight="false" outlineLevel="0" collapsed="false">
      <c r="A23" s="10" t="s">
        <v>910</v>
      </c>
      <c r="B23" s="10" t="n">
        <f aca="false">COUNTIF(Projects!$J:$J,"*"&amp;A23&amp;"*")</f>
        <v>14</v>
      </c>
    </row>
    <row r="24" customFormat="false" ht="15" hidden="false" customHeight="false" outlineLevel="0" collapsed="false">
      <c r="A24" s="10" t="s">
        <v>911</v>
      </c>
      <c r="B24" s="10" t="n">
        <f aca="false">COUNTIF(Projects!$J:$J,"*"&amp;A24&amp;"*")</f>
        <v>5</v>
      </c>
    </row>
    <row r="25" customFormat="false" ht="15" hidden="false" customHeight="false" outlineLevel="0" collapsed="false">
      <c r="A25" s="10" t="s">
        <v>912</v>
      </c>
      <c r="B25" s="10" t="n">
        <f aca="false">COUNTIF(Projects!$J:$J,"*"&amp;A25&amp;"*")</f>
        <v>1</v>
      </c>
    </row>
    <row r="26" customFormat="false" ht="15" hidden="false" customHeight="false" outlineLevel="0" collapsed="false">
      <c r="A26" s="10" t="s">
        <v>913</v>
      </c>
      <c r="B26" s="10" t="n">
        <f aca="false">COUNTIF(Projects!$J:$J,"*"&amp;A26&amp;"*")</f>
        <v>3</v>
      </c>
    </row>
    <row r="27" customFormat="false" ht="15" hidden="false" customHeight="false" outlineLevel="0" collapsed="false">
      <c r="A27" s="10" t="s">
        <v>914</v>
      </c>
      <c r="B27" s="10" t="n">
        <f aca="false">COUNTIF(Projects!$J:$J,"*"&amp;A27&amp;"*")</f>
        <v>12</v>
      </c>
    </row>
    <row r="28" customFormat="false" ht="15" hidden="false" customHeight="false" outlineLevel="0" collapsed="false">
      <c r="A28" s="10" t="s">
        <v>915</v>
      </c>
      <c r="B28" s="10" t="n">
        <f aca="false">COUNTIF(Projects!$J:$J,"*"&amp;A28&amp;"*")</f>
        <v>5</v>
      </c>
    </row>
    <row r="29" customFormat="false" ht="15" hidden="false" customHeight="false" outlineLevel="0" collapsed="false">
      <c r="A29" s="10" t="s">
        <v>916</v>
      </c>
      <c r="B29" s="10" t="n">
        <f aca="false">COUNTIF(Projects!$J:$J,"*"&amp;A29&amp;"*")</f>
        <v>9</v>
      </c>
    </row>
    <row r="30" customFormat="false" ht="15" hidden="false" customHeight="false" outlineLevel="0" collapsed="false">
      <c r="A30" s="10" t="s">
        <v>917</v>
      </c>
      <c r="B30" s="10" t="n">
        <f aca="false">COUNTIF(Projects!$J:$J,"*"&amp;A30&amp;"*")</f>
        <v>9</v>
      </c>
    </row>
    <row r="31" customFormat="false" ht="15" hidden="false" customHeight="false" outlineLevel="0" collapsed="false">
      <c r="A31" s="10" t="s">
        <v>145</v>
      </c>
      <c r="B31" s="10" t="n">
        <f aca="false">COUNTIF(Projects!$J:$J,"*"&amp;A31&amp;"*")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0" t="s">
        <v>918</v>
      </c>
      <c r="B1" s="10" t="s">
        <v>326</v>
      </c>
      <c r="C1" s="10" t="s">
        <v>919</v>
      </c>
      <c r="D1" s="10" t="s">
        <v>920</v>
      </c>
    </row>
    <row r="2" customFormat="false" ht="15" hidden="false" customHeight="false" outlineLevel="0" collapsed="false">
      <c r="A2" s="10" t="s">
        <v>358</v>
      </c>
      <c r="B2" s="10" t="s">
        <v>359</v>
      </c>
      <c r="C2" s="10" t="s">
        <v>361</v>
      </c>
      <c r="D2" s="10" t="n">
        <f aca="false">COUNTIF('Rule Traceability'!$D:$D,A2)</f>
        <v>1</v>
      </c>
    </row>
    <row r="3" customFormat="false" ht="15" hidden="false" customHeight="false" outlineLevel="0" collapsed="false">
      <c r="A3" s="10" t="s">
        <v>366</v>
      </c>
      <c r="B3" s="10" t="s">
        <v>359</v>
      </c>
      <c r="C3" s="10" t="s">
        <v>367</v>
      </c>
      <c r="D3" s="10" t="n">
        <f aca="false">COUNTIF('Rule Traceability'!$D:$D,A3)</f>
        <v>3</v>
      </c>
    </row>
    <row r="4" customFormat="false" ht="15" hidden="false" customHeight="false" outlineLevel="0" collapsed="false">
      <c r="A4" s="10" t="s">
        <v>870</v>
      </c>
      <c r="B4" s="10" t="s">
        <v>359</v>
      </c>
      <c r="C4" s="10" t="s">
        <v>871</v>
      </c>
      <c r="D4" s="10" t="n">
        <f aca="false">COUNTIF('Rule Traceability'!$D:$D,A4)</f>
        <v>1</v>
      </c>
    </row>
    <row r="5" customFormat="false" ht="15" hidden="false" customHeight="false" outlineLevel="0" collapsed="false">
      <c r="A5" s="10" t="s">
        <v>616</v>
      </c>
      <c r="B5" s="10" t="s">
        <v>359</v>
      </c>
      <c r="C5" s="10" t="s">
        <v>618</v>
      </c>
      <c r="D5" s="10" t="n">
        <f aca="false">COUNTIF('Rule Traceability'!$D:$D,A5)</f>
        <v>2</v>
      </c>
    </row>
    <row r="6" customFormat="false" ht="15" hidden="false" customHeight="false" outlineLevel="0" collapsed="false">
      <c r="A6" s="10" t="s">
        <v>429</v>
      </c>
      <c r="B6" s="10" t="s">
        <v>359</v>
      </c>
      <c r="C6" s="10" t="s">
        <v>430</v>
      </c>
      <c r="D6" s="10" t="n">
        <f aca="false">COUNTIF('Rule Traceability'!$D:$D,A6)</f>
        <v>1</v>
      </c>
    </row>
    <row r="7" customFormat="false" ht="15" hidden="false" customHeight="false" outlineLevel="0" collapsed="false">
      <c r="A7" s="10" t="s">
        <v>434</v>
      </c>
      <c r="B7" s="10" t="s">
        <v>359</v>
      </c>
      <c r="C7" s="10" t="s">
        <v>435</v>
      </c>
      <c r="D7" s="10" t="n">
        <f aca="false">COUNTIF('Rule Traceability'!$D:$D,A7)</f>
        <v>1</v>
      </c>
    </row>
    <row r="8" customFormat="false" ht="15" hidden="false" customHeight="false" outlineLevel="0" collapsed="false">
      <c r="A8" s="10" t="s">
        <v>436</v>
      </c>
      <c r="B8" s="10" t="s">
        <v>359</v>
      </c>
      <c r="C8" s="10" t="s">
        <v>437</v>
      </c>
      <c r="D8" s="10" t="n">
        <f aca="false">COUNTIF('Rule Traceability'!$D:$D,A8)</f>
        <v>1</v>
      </c>
    </row>
    <row r="9" customFormat="false" ht="15" hidden="false" customHeight="false" outlineLevel="0" collapsed="false">
      <c r="A9" s="10" t="s">
        <v>372</v>
      </c>
      <c r="B9" s="10" t="s">
        <v>359</v>
      </c>
      <c r="C9" s="10" t="s">
        <v>374</v>
      </c>
      <c r="D9" s="10" t="n">
        <f aca="false">COUNTIF('Rule Traceability'!$D:$D,A9)</f>
        <v>1</v>
      </c>
    </row>
    <row r="10" customFormat="false" ht="15" hidden="false" customHeight="false" outlineLevel="0" collapsed="false">
      <c r="A10" s="10" t="s">
        <v>493</v>
      </c>
      <c r="B10" s="10" t="s">
        <v>359</v>
      </c>
      <c r="C10" s="10" t="s">
        <v>495</v>
      </c>
      <c r="D10" s="10" t="n">
        <f aca="false">COUNTIF('Rule Traceability'!$D:$D,A10)</f>
        <v>1</v>
      </c>
    </row>
    <row r="11" customFormat="false" ht="15" hidden="false" customHeight="false" outlineLevel="0" collapsed="false">
      <c r="A11" s="10" t="s">
        <v>440</v>
      </c>
      <c r="B11" s="10" t="s">
        <v>359</v>
      </c>
      <c r="C11" s="10" t="s">
        <v>442</v>
      </c>
      <c r="D11" s="10" t="n">
        <f aca="false">COUNTIF('Rule Traceability'!$D:$D,A11)</f>
        <v>1</v>
      </c>
    </row>
    <row r="12" customFormat="false" ht="15" hidden="false" customHeight="false" outlineLevel="0" collapsed="false">
      <c r="A12" s="10" t="s">
        <v>445</v>
      </c>
      <c r="B12" s="10" t="s">
        <v>359</v>
      </c>
      <c r="C12" s="10" t="s">
        <v>447</v>
      </c>
      <c r="D12" s="10" t="n">
        <f aca="false">COUNTIF('Rule Traceability'!$D:$D,A12)</f>
        <v>1</v>
      </c>
    </row>
    <row r="13" customFormat="false" ht="15" hidden="false" customHeight="false" outlineLevel="0" collapsed="false">
      <c r="A13" s="10" t="s">
        <v>451</v>
      </c>
      <c r="B13" s="10" t="s">
        <v>359</v>
      </c>
      <c r="C13" s="10" t="s">
        <v>452</v>
      </c>
      <c r="D13" s="10" t="n">
        <f aca="false">COUNTIF('Rule Traceability'!$D:$D,A13)</f>
        <v>1</v>
      </c>
    </row>
    <row r="14" customFormat="false" ht="15" hidden="false" customHeight="false" outlineLevel="0" collapsed="false">
      <c r="A14" s="10" t="s">
        <v>454</v>
      </c>
      <c r="B14" s="10" t="s">
        <v>359</v>
      </c>
      <c r="C14" s="10" t="s">
        <v>455</v>
      </c>
      <c r="D14" s="10" t="n">
        <f aca="false">COUNTIF('Rule Traceability'!$D:$D,A14)</f>
        <v>2</v>
      </c>
    </row>
    <row r="15" customFormat="false" ht="15" hidden="false" customHeight="false" outlineLevel="0" collapsed="false">
      <c r="A15" s="10" t="s">
        <v>457</v>
      </c>
      <c r="B15" s="10" t="s">
        <v>359</v>
      </c>
      <c r="C15" s="10" t="s">
        <v>458</v>
      </c>
      <c r="D15" s="10" t="n">
        <f aca="false">COUNTIF('Rule Traceability'!$D:$D,A15)</f>
        <v>2</v>
      </c>
    </row>
    <row r="16" customFormat="false" ht="15" hidden="false" customHeight="false" outlineLevel="0" collapsed="false">
      <c r="A16" s="10" t="s">
        <v>499</v>
      </c>
      <c r="B16" s="10" t="s">
        <v>359</v>
      </c>
      <c r="C16" s="10" t="s">
        <v>500</v>
      </c>
      <c r="D16" s="10" t="n">
        <f aca="false">COUNTIF('Rule Traceability'!$D:$D,A16)</f>
        <v>1</v>
      </c>
    </row>
    <row r="17" customFormat="false" ht="15" hidden="false" customHeight="false" outlineLevel="0" collapsed="false">
      <c r="A17" s="10" t="s">
        <v>502</v>
      </c>
      <c r="B17" s="10" t="s">
        <v>359</v>
      </c>
      <c r="C17" s="10" t="s">
        <v>503</v>
      </c>
      <c r="D17" s="10" t="n">
        <f aca="false">COUNTIF('Rule Traceability'!$D:$D,A17)</f>
        <v>1</v>
      </c>
    </row>
    <row r="18" customFormat="false" ht="15" hidden="false" customHeight="false" outlineLevel="0" collapsed="false">
      <c r="A18" s="10" t="s">
        <v>461</v>
      </c>
      <c r="B18" s="10" t="s">
        <v>359</v>
      </c>
      <c r="C18" s="10" t="s">
        <v>463</v>
      </c>
      <c r="D18" s="10" t="n">
        <f aca="false">COUNTIF('Rule Traceability'!$D:$D,A18)</f>
        <v>1</v>
      </c>
    </row>
    <row r="19" customFormat="false" ht="15" hidden="false" customHeight="false" outlineLevel="0" collapsed="false">
      <c r="A19" s="10" t="s">
        <v>466</v>
      </c>
      <c r="B19" s="10" t="s">
        <v>359</v>
      </c>
      <c r="C19" s="10" t="s">
        <v>468</v>
      </c>
      <c r="D19" s="10" t="n">
        <f aca="false">COUNTIF('Rule Traceability'!$D:$D,A19)</f>
        <v>1</v>
      </c>
    </row>
    <row r="20" customFormat="false" ht="15" hidden="false" customHeight="false" outlineLevel="0" collapsed="false">
      <c r="A20" s="10" t="s">
        <v>505</v>
      </c>
      <c r="B20" s="10" t="s">
        <v>359</v>
      </c>
      <c r="C20" s="10" t="s">
        <v>506</v>
      </c>
      <c r="D20" s="10" t="n">
        <f aca="false">COUNTIF('Rule Traceability'!$D:$D,A20)</f>
        <v>1</v>
      </c>
    </row>
    <row r="21" customFormat="false" ht="15" hidden="false" customHeight="false" outlineLevel="0" collapsed="false">
      <c r="A21" s="10" t="s">
        <v>508</v>
      </c>
      <c r="B21" s="10" t="s">
        <v>359</v>
      </c>
      <c r="C21" s="10" t="s">
        <v>509</v>
      </c>
      <c r="D21" s="10" t="n">
        <f aca="false">COUNTIF('Rule Traceability'!$D:$D,A21)</f>
        <v>1</v>
      </c>
    </row>
    <row r="22" customFormat="false" ht="15" hidden="false" customHeight="false" outlineLevel="0" collapsed="false">
      <c r="A22" s="10" t="s">
        <v>470</v>
      </c>
      <c r="B22" s="10" t="s">
        <v>359</v>
      </c>
      <c r="C22" s="10" t="s">
        <v>472</v>
      </c>
      <c r="D22" s="10" t="n">
        <f aca="false">COUNTIF('Rule Traceability'!$D:$D,A22)</f>
        <v>1</v>
      </c>
    </row>
    <row r="23" customFormat="false" ht="15" hidden="false" customHeight="false" outlineLevel="0" collapsed="false">
      <c r="A23" s="10" t="s">
        <v>873</v>
      </c>
      <c r="B23" s="10" t="s">
        <v>359</v>
      </c>
      <c r="C23" s="10" t="s">
        <v>874</v>
      </c>
      <c r="D23" s="10" t="n">
        <f aca="false">COUNTIF('Rule Traceability'!$D:$D,A23)</f>
        <v>1</v>
      </c>
    </row>
    <row r="24" customFormat="false" ht="15" hidden="false" customHeight="false" outlineLevel="0" collapsed="false">
      <c r="A24" s="10" t="s">
        <v>893</v>
      </c>
      <c r="B24" s="10" t="s">
        <v>359</v>
      </c>
      <c r="C24" s="10" t="s">
        <v>895</v>
      </c>
      <c r="D24" s="10" t="n">
        <f aca="false">COUNTIF('Rule Traceability'!$D:$D,A24)</f>
        <v>1</v>
      </c>
    </row>
    <row r="25" customFormat="false" ht="15" hidden="false" customHeight="false" outlineLevel="0" collapsed="false">
      <c r="A25" s="10" t="s">
        <v>897</v>
      </c>
      <c r="B25" s="10" t="s">
        <v>359</v>
      </c>
      <c r="C25" s="10" t="s">
        <v>898</v>
      </c>
      <c r="D25" s="10" t="n">
        <f aca="false">COUNTIF('Rule Traceability'!$D:$D,A25)</f>
        <v>1</v>
      </c>
    </row>
    <row r="26" customFormat="false" ht="15" hidden="false" customHeight="false" outlineLevel="0" collapsed="false">
      <c r="A26" s="10" t="s">
        <v>474</v>
      </c>
      <c r="B26" s="10" t="s">
        <v>359</v>
      </c>
      <c r="C26" s="10" t="s">
        <v>476</v>
      </c>
      <c r="D26" s="10" t="n">
        <f aca="false">COUNTIF('Rule Traceability'!$D:$D,A26)</f>
        <v>1</v>
      </c>
    </row>
    <row r="27" customFormat="false" ht="15" hidden="false" customHeight="false" outlineLevel="0" collapsed="false">
      <c r="A27" s="10" t="s">
        <v>478</v>
      </c>
      <c r="B27" s="10" t="s">
        <v>359</v>
      </c>
      <c r="C27" s="10" t="s">
        <v>479</v>
      </c>
      <c r="D27" s="10" t="n">
        <f aca="false">COUNTIF('Rule Traceability'!$D:$D,A27)</f>
        <v>2</v>
      </c>
    </row>
    <row r="28" customFormat="false" ht="15" hidden="false" customHeight="false" outlineLevel="0" collapsed="false">
      <c r="A28" s="10" t="s">
        <v>483</v>
      </c>
      <c r="B28" s="10" t="s">
        <v>359</v>
      </c>
      <c r="C28" s="10" t="s">
        <v>485</v>
      </c>
      <c r="D28" s="10" t="n">
        <f aca="false">COUNTIF('Rule Traceability'!$D:$D,A28)</f>
        <v>1</v>
      </c>
    </row>
    <row r="29" customFormat="false" ht="15" hidden="false" customHeight="false" outlineLevel="0" collapsed="false">
      <c r="A29" s="10" t="s">
        <v>645</v>
      </c>
      <c r="B29" s="10" t="s">
        <v>359</v>
      </c>
      <c r="C29" s="10" t="s">
        <v>647</v>
      </c>
      <c r="D29" s="10" t="n">
        <f aca="false">COUNTIF('Rule Traceability'!$D:$D,A29)</f>
        <v>1</v>
      </c>
    </row>
    <row r="30" customFormat="false" ht="15" hidden="false" customHeight="false" outlineLevel="0" collapsed="false">
      <c r="A30" s="10" t="s">
        <v>650</v>
      </c>
      <c r="B30" s="10" t="s">
        <v>359</v>
      </c>
      <c r="C30" s="10" t="s">
        <v>651</v>
      </c>
      <c r="D30" s="10" t="n">
        <f aca="false">COUNTIF('Rule Traceability'!$D:$D,A30)</f>
        <v>1</v>
      </c>
    </row>
    <row r="31" customFormat="false" ht="15" hidden="false" customHeight="false" outlineLevel="0" collapsed="false">
      <c r="A31" s="10" t="s">
        <v>511</v>
      </c>
      <c r="B31" s="10" t="s">
        <v>376</v>
      </c>
      <c r="C31" s="10" t="s">
        <v>513</v>
      </c>
      <c r="D31" s="10" t="n">
        <f aca="false">COUNTIF('Rule Traceability'!$D:$D,A31)</f>
        <v>1</v>
      </c>
    </row>
    <row r="32" customFormat="false" ht="15" hidden="false" customHeight="false" outlineLevel="0" collapsed="false">
      <c r="A32" s="10" t="s">
        <v>516</v>
      </c>
      <c r="B32" s="10" t="s">
        <v>376</v>
      </c>
      <c r="C32" s="10" t="s">
        <v>517</v>
      </c>
      <c r="D32" s="10" t="n">
        <f aca="false">COUNTIF('Rule Traceability'!$D:$D,A32)</f>
        <v>1</v>
      </c>
    </row>
    <row r="33" customFormat="false" ht="15" hidden="false" customHeight="false" outlineLevel="0" collapsed="false">
      <c r="A33" s="10" t="s">
        <v>518</v>
      </c>
      <c r="B33" s="10" t="s">
        <v>376</v>
      </c>
      <c r="C33" s="10" t="s">
        <v>519</v>
      </c>
      <c r="D33" s="10" t="n">
        <f aca="false">COUNTIF('Rule Traceability'!$D:$D,A33)</f>
        <v>1</v>
      </c>
    </row>
    <row r="34" customFormat="false" ht="15" hidden="false" customHeight="false" outlineLevel="0" collapsed="false">
      <c r="A34" s="10" t="s">
        <v>521</v>
      </c>
      <c r="B34" s="10" t="s">
        <v>376</v>
      </c>
      <c r="C34" s="10" t="s">
        <v>522</v>
      </c>
      <c r="D34" s="10" t="n">
        <f aca="false">COUNTIF('Rule Traceability'!$D:$D,A34)</f>
        <v>1</v>
      </c>
    </row>
    <row r="35" customFormat="false" ht="15" hidden="false" customHeight="false" outlineLevel="0" collapsed="false">
      <c r="A35" s="10" t="s">
        <v>375</v>
      </c>
      <c r="B35" s="10" t="s">
        <v>376</v>
      </c>
      <c r="C35" s="10" t="s">
        <v>378</v>
      </c>
      <c r="D35" s="10" t="n">
        <f aca="false">COUNTIF('Rule Traceability'!$D:$D,A35)</f>
        <v>2</v>
      </c>
    </row>
    <row r="36" customFormat="false" ht="15" hidden="false" customHeight="false" outlineLevel="0" collapsed="false">
      <c r="A36" s="10" t="s">
        <v>524</v>
      </c>
      <c r="B36" s="10" t="s">
        <v>376</v>
      </c>
      <c r="C36" s="10" t="s">
        <v>525</v>
      </c>
      <c r="D36" s="10" t="n">
        <f aca="false">COUNTIF('Rule Traceability'!$D:$D,A36)</f>
        <v>1</v>
      </c>
    </row>
    <row r="37" customFormat="false" ht="15" hidden="false" customHeight="false" outlineLevel="0" collapsed="false">
      <c r="A37" s="10" t="s">
        <v>560</v>
      </c>
      <c r="B37" s="10" t="s">
        <v>376</v>
      </c>
      <c r="C37" s="10" t="s">
        <v>561</v>
      </c>
      <c r="D37" s="10" t="n">
        <f aca="false">COUNTIF('Rule Traceability'!$D:$D,A37)</f>
        <v>1</v>
      </c>
    </row>
    <row r="38" customFormat="false" ht="15" hidden="false" customHeight="false" outlineLevel="0" collapsed="false">
      <c r="A38" s="10" t="s">
        <v>526</v>
      </c>
      <c r="B38" s="10" t="s">
        <v>376</v>
      </c>
      <c r="C38" s="10" t="s">
        <v>527</v>
      </c>
      <c r="D38" s="10" t="n">
        <f aca="false">COUNTIF('Rule Traceability'!$D:$D,A38)</f>
        <v>1</v>
      </c>
    </row>
    <row r="39" customFormat="false" ht="15" hidden="false" customHeight="false" outlineLevel="0" collapsed="false">
      <c r="A39" s="10" t="s">
        <v>529</v>
      </c>
      <c r="B39" s="10" t="s">
        <v>376</v>
      </c>
      <c r="C39" s="10" t="s">
        <v>531</v>
      </c>
      <c r="D39" s="10" t="n">
        <f aca="false">COUNTIF('Rule Traceability'!$D:$D,A39)</f>
        <v>1</v>
      </c>
    </row>
    <row r="40" customFormat="false" ht="15" hidden="false" customHeight="false" outlineLevel="0" collapsed="false">
      <c r="A40" s="10" t="s">
        <v>533</v>
      </c>
      <c r="B40" s="10" t="s">
        <v>376</v>
      </c>
      <c r="C40" s="10" t="s">
        <v>534</v>
      </c>
      <c r="D40" s="10" t="n">
        <f aca="false">COUNTIF('Rule Traceability'!$D:$D,A40)</f>
        <v>1</v>
      </c>
    </row>
    <row r="41" customFormat="false" ht="15" hidden="false" customHeight="false" outlineLevel="0" collapsed="false">
      <c r="A41" s="10" t="s">
        <v>563</v>
      </c>
      <c r="B41" s="10" t="s">
        <v>376</v>
      </c>
      <c r="C41" s="10" t="s">
        <v>564</v>
      </c>
      <c r="D41" s="10" t="n">
        <f aca="false">COUNTIF('Rule Traceability'!$D:$D,A41)</f>
        <v>1</v>
      </c>
    </row>
    <row r="42" customFormat="false" ht="15" hidden="false" customHeight="false" outlineLevel="0" collapsed="false">
      <c r="A42" s="10" t="s">
        <v>535</v>
      </c>
      <c r="B42" s="10" t="s">
        <v>376</v>
      </c>
      <c r="C42" s="10" t="s">
        <v>537</v>
      </c>
      <c r="D42" s="10" t="n">
        <f aca="false">COUNTIF('Rule Traceability'!$D:$D,A42)</f>
        <v>1</v>
      </c>
    </row>
    <row r="43" customFormat="false" ht="15" hidden="false" customHeight="false" outlineLevel="0" collapsed="false">
      <c r="A43" s="10" t="s">
        <v>566</v>
      </c>
      <c r="B43" s="10" t="s">
        <v>376</v>
      </c>
      <c r="C43" s="10" t="s">
        <v>567</v>
      </c>
      <c r="D43" s="10" t="n">
        <f aca="false">COUNTIF('Rule Traceability'!$D:$D,A43)</f>
        <v>1</v>
      </c>
    </row>
    <row r="44" customFormat="false" ht="15" hidden="false" customHeight="false" outlineLevel="0" collapsed="false">
      <c r="A44" s="10" t="s">
        <v>539</v>
      </c>
      <c r="B44" s="10" t="s">
        <v>376</v>
      </c>
      <c r="C44" s="10" t="s">
        <v>540</v>
      </c>
      <c r="D44" s="10" t="n">
        <f aca="false">COUNTIF('Rule Traceability'!$D:$D,A44)</f>
        <v>1</v>
      </c>
    </row>
    <row r="45" customFormat="false" ht="15" hidden="false" customHeight="false" outlineLevel="0" collapsed="false">
      <c r="A45" s="10" t="s">
        <v>542</v>
      </c>
      <c r="B45" s="10" t="s">
        <v>376</v>
      </c>
      <c r="C45" s="10" t="s">
        <v>544</v>
      </c>
      <c r="D45" s="10" t="n">
        <f aca="false">COUNTIF('Rule Traceability'!$D:$D,A45)</f>
        <v>1</v>
      </c>
    </row>
    <row r="46" customFormat="false" ht="15" hidden="false" customHeight="false" outlineLevel="0" collapsed="false">
      <c r="A46" s="10" t="s">
        <v>546</v>
      </c>
      <c r="B46" s="10" t="s">
        <v>376</v>
      </c>
      <c r="C46" s="10" t="s">
        <v>548</v>
      </c>
      <c r="D46" s="10" t="n">
        <f aca="false">COUNTIF('Rule Traceability'!$D:$D,A46)</f>
        <v>2</v>
      </c>
    </row>
    <row r="47" customFormat="false" ht="15" hidden="false" customHeight="false" outlineLevel="0" collapsed="false">
      <c r="A47" s="10" t="s">
        <v>569</v>
      </c>
      <c r="B47" s="10" t="s">
        <v>376</v>
      </c>
      <c r="C47" s="10" t="s">
        <v>571</v>
      </c>
      <c r="D47" s="10" t="n">
        <f aca="false">COUNTIF('Rule Traceability'!$D:$D,A47)</f>
        <v>1</v>
      </c>
    </row>
    <row r="48" customFormat="false" ht="15" hidden="false" customHeight="false" outlineLevel="0" collapsed="false">
      <c r="A48" s="10" t="s">
        <v>573</v>
      </c>
      <c r="B48" s="10" t="s">
        <v>376</v>
      </c>
      <c r="C48" s="10" t="s">
        <v>574</v>
      </c>
      <c r="D48" s="10" t="n">
        <f aca="false">COUNTIF('Rule Traceability'!$D:$D,A48)</f>
        <v>1</v>
      </c>
    </row>
    <row r="49" customFormat="false" ht="15" hidden="false" customHeight="false" outlineLevel="0" collapsed="false">
      <c r="A49" s="10" t="s">
        <v>551</v>
      </c>
      <c r="B49" s="10" t="s">
        <v>376</v>
      </c>
      <c r="C49" s="10" t="s">
        <v>553</v>
      </c>
      <c r="D49" s="10" t="n">
        <f aca="false">COUNTIF('Rule Traceability'!$D:$D,A49)</f>
        <v>1</v>
      </c>
    </row>
    <row r="50" customFormat="false" ht="15" hidden="false" customHeight="false" outlineLevel="0" collapsed="false">
      <c r="A50" s="10" t="s">
        <v>576</v>
      </c>
      <c r="B50" s="10" t="s">
        <v>376</v>
      </c>
      <c r="C50" s="10" t="s">
        <v>578</v>
      </c>
      <c r="D50" s="10" t="n">
        <f aca="false">COUNTIF('Rule Traceability'!$D:$D,A50)</f>
        <v>1</v>
      </c>
    </row>
    <row r="51" customFormat="false" ht="15" hidden="false" customHeight="false" outlineLevel="0" collapsed="false">
      <c r="A51" s="10" t="s">
        <v>671</v>
      </c>
      <c r="B51" s="10" t="s">
        <v>376</v>
      </c>
      <c r="C51" s="10" t="s">
        <v>672</v>
      </c>
      <c r="D51" s="10" t="n">
        <f aca="false">COUNTIF('Rule Traceability'!$D:$D,A51)</f>
        <v>1</v>
      </c>
    </row>
    <row r="52" customFormat="false" ht="15" hidden="false" customHeight="false" outlineLevel="0" collapsed="false">
      <c r="A52" s="10" t="s">
        <v>556</v>
      </c>
      <c r="B52" s="10" t="s">
        <v>376</v>
      </c>
      <c r="C52" s="10" t="s">
        <v>558</v>
      </c>
      <c r="D52" s="10" t="n">
        <f aca="false">COUNTIF('Rule Traceability'!$D:$D,A52)</f>
        <v>2</v>
      </c>
    </row>
    <row r="53" customFormat="false" ht="15" hidden="false" customHeight="false" outlineLevel="0" collapsed="false">
      <c r="A53" s="10" t="s">
        <v>381</v>
      </c>
      <c r="B53" s="10" t="s">
        <v>382</v>
      </c>
      <c r="C53" s="10" t="s">
        <v>384</v>
      </c>
      <c r="D53" s="10" t="n">
        <f aca="false">COUNTIF('Rule Traceability'!$D:$D,A53)</f>
        <v>2</v>
      </c>
    </row>
    <row r="54" customFormat="false" ht="15" hidden="false" customHeight="false" outlineLevel="0" collapsed="false">
      <c r="A54" s="10" t="s">
        <v>674</v>
      </c>
      <c r="B54" s="10" t="s">
        <v>382</v>
      </c>
      <c r="C54" s="10" t="s">
        <v>675</v>
      </c>
      <c r="D54" s="10" t="n">
        <f aca="false">COUNTIF('Rule Traceability'!$D:$D,A54)</f>
        <v>1</v>
      </c>
    </row>
    <row r="55" customFormat="false" ht="15" hidden="false" customHeight="false" outlineLevel="0" collapsed="false">
      <c r="A55" s="10" t="s">
        <v>677</v>
      </c>
      <c r="B55" s="10" t="s">
        <v>382</v>
      </c>
      <c r="C55" s="10" t="s">
        <v>679</v>
      </c>
      <c r="D55" s="10" t="n">
        <f aca="false">COUNTIF('Rule Traceability'!$D:$D,A55)</f>
        <v>1</v>
      </c>
    </row>
    <row r="56" customFormat="false" ht="15" hidden="false" customHeight="false" outlineLevel="0" collapsed="false">
      <c r="A56" s="10" t="s">
        <v>681</v>
      </c>
      <c r="B56" s="10" t="s">
        <v>382</v>
      </c>
      <c r="C56" s="10" t="s">
        <v>682</v>
      </c>
      <c r="D56" s="10" t="n">
        <f aca="false">COUNTIF('Rule Traceability'!$D:$D,A56)</f>
        <v>1</v>
      </c>
    </row>
    <row r="57" customFormat="false" ht="15" hidden="false" customHeight="false" outlineLevel="0" collapsed="false">
      <c r="A57" s="10" t="s">
        <v>863</v>
      </c>
      <c r="B57" s="10" t="s">
        <v>382</v>
      </c>
      <c r="C57" s="10" t="s">
        <v>864</v>
      </c>
      <c r="D57" s="10" t="n">
        <f aca="false">COUNTIF('Rule Traceability'!$D:$D,A57)</f>
        <v>1</v>
      </c>
    </row>
    <row r="58" customFormat="false" ht="15" hidden="false" customHeight="false" outlineLevel="0" collapsed="false">
      <c r="A58" s="10" t="s">
        <v>683</v>
      </c>
      <c r="B58" s="10" t="s">
        <v>382</v>
      </c>
      <c r="C58" s="10" t="s">
        <v>685</v>
      </c>
      <c r="D58" s="10" t="n">
        <f aca="false">COUNTIF('Rule Traceability'!$D:$D,A58)</f>
        <v>1</v>
      </c>
    </row>
    <row r="59" customFormat="false" ht="15" hidden="false" customHeight="false" outlineLevel="0" collapsed="false">
      <c r="A59" s="10" t="s">
        <v>688</v>
      </c>
      <c r="B59" s="10" t="s">
        <v>382</v>
      </c>
      <c r="C59" s="10" t="s">
        <v>690</v>
      </c>
      <c r="D59" s="10" t="n">
        <f aca="false">COUNTIF('Rule Traceability'!$D:$D,A59)</f>
        <v>1</v>
      </c>
    </row>
    <row r="60" customFormat="false" ht="15" hidden="false" customHeight="false" outlineLevel="0" collapsed="false">
      <c r="A60" s="10" t="s">
        <v>720</v>
      </c>
      <c r="B60" s="10" t="s">
        <v>382</v>
      </c>
      <c r="C60" s="10" t="s">
        <v>721</v>
      </c>
      <c r="D60" s="10" t="n">
        <f aca="false">COUNTIF('Rule Traceability'!$D:$D,A60)</f>
        <v>1</v>
      </c>
    </row>
    <row r="61" customFormat="false" ht="15" hidden="false" customHeight="false" outlineLevel="0" collapsed="false">
      <c r="A61" s="10" t="s">
        <v>723</v>
      </c>
      <c r="B61" s="10" t="s">
        <v>382</v>
      </c>
      <c r="C61" s="10" t="s">
        <v>724</v>
      </c>
      <c r="D61" s="10" t="n">
        <f aca="false">COUNTIF('Rule Traceability'!$D:$D,A61)</f>
        <v>1</v>
      </c>
    </row>
    <row r="62" customFormat="false" ht="15" hidden="false" customHeight="false" outlineLevel="0" collapsed="false">
      <c r="A62" s="10" t="s">
        <v>692</v>
      </c>
      <c r="B62" s="10" t="s">
        <v>382</v>
      </c>
      <c r="C62" s="10" t="s">
        <v>693</v>
      </c>
      <c r="D62" s="10" t="n">
        <f aca="false">COUNTIF('Rule Traceability'!$D:$D,A62)</f>
        <v>1</v>
      </c>
    </row>
    <row r="63" customFormat="false" ht="15" hidden="false" customHeight="false" outlineLevel="0" collapsed="false">
      <c r="A63" s="10" t="s">
        <v>695</v>
      </c>
      <c r="B63" s="10" t="s">
        <v>382</v>
      </c>
      <c r="C63" s="10" t="s">
        <v>697</v>
      </c>
      <c r="D63" s="10" t="n">
        <f aca="false">COUNTIF('Rule Traceability'!$D:$D,A63)</f>
        <v>1</v>
      </c>
    </row>
    <row r="64" customFormat="false" ht="15" hidden="false" customHeight="false" outlineLevel="0" collapsed="false">
      <c r="A64" s="10" t="s">
        <v>699</v>
      </c>
      <c r="B64" s="10" t="s">
        <v>382</v>
      </c>
      <c r="C64" s="10" t="s">
        <v>700</v>
      </c>
      <c r="D64" s="10" t="n">
        <f aca="false">COUNTIF('Rule Traceability'!$D:$D,A64)</f>
        <v>1</v>
      </c>
    </row>
    <row r="65" customFormat="false" ht="15" hidden="false" customHeight="false" outlineLevel="0" collapsed="false">
      <c r="A65" s="10" t="s">
        <v>702</v>
      </c>
      <c r="B65" s="10" t="s">
        <v>382</v>
      </c>
      <c r="C65" s="10" t="s">
        <v>703</v>
      </c>
      <c r="D65" s="10" t="n">
        <f aca="false">COUNTIF('Rule Traceability'!$D:$D,A65)</f>
        <v>1</v>
      </c>
    </row>
    <row r="66" customFormat="false" ht="15" hidden="false" customHeight="false" outlineLevel="0" collapsed="false">
      <c r="A66" s="10" t="s">
        <v>726</v>
      </c>
      <c r="B66" s="10" t="s">
        <v>382</v>
      </c>
      <c r="C66" s="10" t="s">
        <v>727</v>
      </c>
      <c r="D66" s="10" t="n">
        <f aca="false">COUNTIF('Rule Traceability'!$D:$D,A66)</f>
        <v>1</v>
      </c>
    </row>
    <row r="67" customFormat="false" ht="15" hidden="false" customHeight="false" outlineLevel="0" collapsed="false">
      <c r="A67" s="10" t="s">
        <v>729</v>
      </c>
      <c r="B67" s="10" t="s">
        <v>382</v>
      </c>
      <c r="C67" s="10" t="s">
        <v>731</v>
      </c>
      <c r="D67" s="10" t="n">
        <f aca="false">COUNTIF('Rule Traceability'!$D:$D,A67)</f>
        <v>1</v>
      </c>
    </row>
    <row r="68" customFormat="false" ht="15" hidden="false" customHeight="false" outlineLevel="0" collapsed="false">
      <c r="A68" s="10" t="s">
        <v>705</v>
      </c>
      <c r="B68" s="10" t="s">
        <v>382</v>
      </c>
      <c r="C68" s="10" t="s">
        <v>707</v>
      </c>
      <c r="D68" s="10" t="n">
        <f aca="false">COUNTIF('Rule Traceability'!$D:$D,A68)</f>
        <v>1</v>
      </c>
    </row>
    <row r="69" customFormat="false" ht="15" hidden="false" customHeight="false" outlineLevel="0" collapsed="false">
      <c r="A69" s="10" t="s">
        <v>709</v>
      </c>
      <c r="B69" s="10" t="s">
        <v>382</v>
      </c>
      <c r="C69" s="10" t="s">
        <v>711</v>
      </c>
      <c r="D69" s="10" t="n">
        <f aca="false">COUNTIF('Rule Traceability'!$D:$D,A69)</f>
        <v>2</v>
      </c>
    </row>
    <row r="70" customFormat="false" ht="15" hidden="false" customHeight="false" outlineLevel="0" collapsed="false">
      <c r="A70" s="10" t="s">
        <v>487</v>
      </c>
      <c r="B70" s="10" t="s">
        <v>382</v>
      </c>
      <c r="C70" s="10" t="s">
        <v>489</v>
      </c>
      <c r="D70" s="10" t="n">
        <f aca="false">COUNTIF('Rule Traceability'!$D:$D,A70)</f>
        <v>2</v>
      </c>
    </row>
    <row r="71" customFormat="false" ht="15" hidden="false" customHeight="false" outlineLevel="0" collapsed="false">
      <c r="A71" s="10" t="s">
        <v>713</v>
      </c>
      <c r="B71" s="10" t="s">
        <v>382</v>
      </c>
      <c r="C71" s="10" t="s">
        <v>714</v>
      </c>
      <c r="D71" s="10" t="n">
        <f aca="false">COUNTIF('Rule Traceability'!$D:$D,A71)</f>
        <v>2</v>
      </c>
    </row>
    <row r="72" customFormat="false" ht="15" hidden="false" customHeight="false" outlineLevel="0" collapsed="false">
      <c r="A72" s="10" t="s">
        <v>733</v>
      </c>
      <c r="B72" s="10" t="s">
        <v>382</v>
      </c>
      <c r="C72" s="10" t="s">
        <v>734</v>
      </c>
      <c r="D72" s="10" t="n">
        <f aca="false">COUNTIF('Rule Traceability'!$D:$D,A72)</f>
        <v>1</v>
      </c>
    </row>
    <row r="73" customFormat="false" ht="15" hidden="false" customHeight="false" outlineLevel="0" collapsed="false">
      <c r="A73" s="10" t="s">
        <v>717</v>
      </c>
      <c r="B73" s="10" t="s">
        <v>382</v>
      </c>
      <c r="C73" s="10" t="s">
        <v>718</v>
      </c>
      <c r="D73" s="10" t="n">
        <f aca="false">COUNTIF('Rule Traceability'!$D:$D,A73)</f>
        <v>1</v>
      </c>
    </row>
    <row r="74" customFormat="false" ht="15" hidden="false" customHeight="false" outlineLevel="0" collapsed="false">
      <c r="A74" s="10" t="s">
        <v>736</v>
      </c>
      <c r="B74" s="10" t="s">
        <v>382</v>
      </c>
      <c r="C74" s="10" t="s">
        <v>738</v>
      </c>
      <c r="D74" s="10" t="n">
        <f aca="false">COUNTIF('Rule Traceability'!$D:$D,A74)</f>
        <v>1</v>
      </c>
    </row>
    <row r="75" customFormat="false" ht="15" hidden="false" customHeight="false" outlineLevel="0" collapsed="false">
      <c r="A75" s="10" t="s">
        <v>389</v>
      </c>
      <c r="B75" s="10" t="s">
        <v>390</v>
      </c>
      <c r="C75" s="10" t="s">
        <v>392</v>
      </c>
      <c r="D75" s="10" t="n">
        <f aca="false">COUNTIF('Rule Traceability'!$D:$D,A75)</f>
        <v>2</v>
      </c>
    </row>
    <row r="76" customFormat="false" ht="15" hidden="false" customHeight="false" outlineLevel="0" collapsed="false">
      <c r="A76" s="10" t="s">
        <v>740</v>
      </c>
      <c r="B76" s="10" t="s">
        <v>390</v>
      </c>
      <c r="C76" s="10" t="s">
        <v>742</v>
      </c>
      <c r="D76" s="10" t="n">
        <f aca="false">COUNTIF('Rule Traceability'!$D:$D,A76)</f>
        <v>1</v>
      </c>
    </row>
    <row r="77" customFormat="false" ht="15" hidden="false" customHeight="false" outlineLevel="0" collapsed="false">
      <c r="A77" s="10" t="s">
        <v>745</v>
      </c>
      <c r="B77" s="10" t="s">
        <v>390</v>
      </c>
      <c r="C77" s="10" t="s">
        <v>747</v>
      </c>
      <c r="D77" s="10" t="n">
        <f aca="false">COUNTIF('Rule Traceability'!$D:$D,A77)</f>
        <v>1</v>
      </c>
    </row>
    <row r="78" customFormat="false" ht="15" hidden="false" customHeight="false" outlineLevel="0" collapsed="false">
      <c r="A78" s="10" t="s">
        <v>750</v>
      </c>
      <c r="B78" s="10" t="s">
        <v>390</v>
      </c>
      <c r="C78" s="10" t="s">
        <v>751</v>
      </c>
      <c r="D78" s="10" t="n">
        <f aca="false">COUNTIF('Rule Traceability'!$D:$D,A78)</f>
        <v>1</v>
      </c>
    </row>
    <row r="79" customFormat="false" ht="15" hidden="false" customHeight="false" outlineLevel="0" collapsed="false">
      <c r="A79" s="10" t="s">
        <v>753</v>
      </c>
      <c r="B79" s="10" t="s">
        <v>390</v>
      </c>
      <c r="C79" s="10" t="s">
        <v>755</v>
      </c>
      <c r="D79" s="10" t="n">
        <f aca="false">COUNTIF('Rule Traceability'!$D:$D,A79)</f>
        <v>1</v>
      </c>
    </row>
    <row r="80" customFormat="false" ht="15" hidden="false" customHeight="false" outlineLevel="0" collapsed="false">
      <c r="A80" s="10" t="s">
        <v>757</v>
      </c>
      <c r="B80" s="10" t="s">
        <v>390</v>
      </c>
      <c r="C80" s="10" t="s">
        <v>758</v>
      </c>
      <c r="D80" s="10" t="n">
        <f aca="false">COUNTIF('Rule Traceability'!$D:$D,A80)</f>
        <v>1</v>
      </c>
    </row>
    <row r="81" customFormat="false" ht="15" hidden="false" customHeight="false" outlineLevel="0" collapsed="false">
      <c r="A81" s="10" t="s">
        <v>760</v>
      </c>
      <c r="B81" s="10" t="s">
        <v>390</v>
      </c>
      <c r="C81" s="10" t="s">
        <v>762</v>
      </c>
      <c r="D81" s="10" t="n">
        <f aca="false">COUNTIF('Rule Traceability'!$D:$D,A81)</f>
        <v>1</v>
      </c>
    </row>
    <row r="82" customFormat="false" ht="15" hidden="false" customHeight="false" outlineLevel="0" collapsed="false">
      <c r="A82" s="10" t="s">
        <v>783</v>
      </c>
      <c r="B82" s="10" t="s">
        <v>390</v>
      </c>
      <c r="C82" s="10" t="s">
        <v>785</v>
      </c>
      <c r="D82" s="10" t="n">
        <f aca="false">COUNTIF('Rule Traceability'!$D:$D,A82)</f>
        <v>1</v>
      </c>
    </row>
    <row r="83" customFormat="false" ht="15" hidden="false" customHeight="false" outlineLevel="0" collapsed="false">
      <c r="A83" s="10" t="s">
        <v>865</v>
      </c>
      <c r="B83" s="10" t="s">
        <v>390</v>
      </c>
      <c r="C83" s="10" t="s">
        <v>867</v>
      </c>
      <c r="D83" s="10" t="n">
        <f aca="false">COUNTIF('Rule Traceability'!$D:$D,A83)</f>
        <v>1</v>
      </c>
    </row>
    <row r="84" customFormat="false" ht="15" hidden="false" customHeight="false" outlineLevel="0" collapsed="false">
      <c r="A84" s="10" t="s">
        <v>764</v>
      </c>
      <c r="B84" s="10" t="s">
        <v>390</v>
      </c>
      <c r="C84" s="10" t="s">
        <v>766</v>
      </c>
      <c r="D84" s="10" t="n">
        <f aca="false">COUNTIF('Rule Traceability'!$D:$D,A84)</f>
        <v>1</v>
      </c>
    </row>
    <row r="85" customFormat="false" ht="15" hidden="false" customHeight="false" outlineLevel="0" collapsed="false">
      <c r="A85" s="10" t="s">
        <v>768</v>
      </c>
      <c r="B85" s="10" t="s">
        <v>390</v>
      </c>
      <c r="C85" s="10" t="s">
        <v>769</v>
      </c>
      <c r="D85" s="10" t="n">
        <f aca="false">COUNTIF('Rule Traceability'!$D:$D,A85)</f>
        <v>1</v>
      </c>
    </row>
    <row r="86" customFormat="false" ht="15" hidden="false" customHeight="false" outlineLevel="0" collapsed="false">
      <c r="A86" s="10" t="s">
        <v>855</v>
      </c>
      <c r="B86" s="10" t="s">
        <v>390</v>
      </c>
      <c r="C86" s="10" t="s">
        <v>856</v>
      </c>
      <c r="D86" s="10" t="n">
        <f aca="false">COUNTIF('Rule Traceability'!$D:$D,A86)</f>
        <v>1</v>
      </c>
    </row>
    <row r="87" customFormat="false" ht="15" hidden="false" customHeight="false" outlineLevel="0" collapsed="false">
      <c r="A87" s="10" t="s">
        <v>860</v>
      </c>
      <c r="B87" s="10" t="s">
        <v>390</v>
      </c>
      <c r="C87" s="10" t="s">
        <v>861</v>
      </c>
      <c r="D87" s="10" t="n">
        <f aca="false">COUNTIF('Rule Traceability'!$D:$D,A87)</f>
        <v>1</v>
      </c>
    </row>
    <row r="88" customFormat="false" ht="15" hidden="false" customHeight="false" outlineLevel="0" collapsed="false">
      <c r="A88" s="10" t="s">
        <v>771</v>
      </c>
      <c r="B88" s="10" t="s">
        <v>390</v>
      </c>
      <c r="C88" s="10" t="s">
        <v>773</v>
      </c>
      <c r="D88" s="10" t="n">
        <f aca="false">COUNTIF('Rule Traceability'!$D:$D,A88)</f>
        <v>1</v>
      </c>
    </row>
    <row r="89" customFormat="false" ht="15" hidden="false" customHeight="false" outlineLevel="0" collapsed="false">
      <c r="A89" s="10" t="s">
        <v>775</v>
      </c>
      <c r="B89" s="10" t="s">
        <v>390</v>
      </c>
      <c r="C89" s="10" t="s">
        <v>777</v>
      </c>
      <c r="D89" s="10" t="n">
        <f aca="false">COUNTIF('Rule Traceability'!$D:$D,A89)</f>
        <v>1</v>
      </c>
    </row>
    <row r="90" customFormat="false" ht="15" hidden="false" customHeight="false" outlineLevel="0" collapsed="false">
      <c r="A90" s="10" t="s">
        <v>779</v>
      </c>
      <c r="B90" s="10" t="s">
        <v>390</v>
      </c>
      <c r="C90" s="10" t="s">
        <v>780</v>
      </c>
      <c r="D90" s="10" t="n">
        <f aca="false">COUNTIF('Rule Traceability'!$D:$D,A90)</f>
        <v>2</v>
      </c>
    </row>
    <row r="91" customFormat="false" ht="15" hidden="false" customHeight="false" outlineLevel="0" collapsed="false">
      <c r="A91" s="10" t="s">
        <v>850</v>
      </c>
      <c r="B91" s="10" t="s">
        <v>390</v>
      </c>
      <c r="C91" s="10" t="s">
        <v>852</v>
      </c>
      <c r="D91" s="10" t="n">
        <f aca="false">COUNTIF('Rule Traceability'!$D:$D,A91)</f>
        <v>3</v>
      </c>
    </row>
    <row r="92" customFormat="false" ht="15" hidden="false" customHeight="false" outlineLevel="0" collapsed="false">
      <c r="A92" s="10" t="s">
        <v>414</v>
      </c>
      <c r="B92" s="10" t="s">
        <v>415</v>
      </c>
      <c r="C92" s="10" t="s">
        <v>417</v>
      </c>
      <c r="D92" s="10" t="n">
        <f aca="false">COUNTIF('Rule Traceability'!$D:$D,A92)</f>
        <v>3</v>
      </c>
    </row>
    <row r="93" customFormat="false" ht="15" hidden="false" customHeight="false" outlineLevel="0" collapsed="false">
      <c r="A93" s="10" t="s">
        <v>787</v>
      </c>
      <c r="B93" s="10" t="s">
        <v>415</v>
      </c>
      <c r="C93" s="10" t="s">
        <v>789</v>
      </c>
      <c r="D93" s="10" t="n">
        <f aca="false">COUNTIF('Rule Traceability'!$D:$D,A93)</f>
        <v>1</v>
      </c>
    </row>
    <row r="94" customFormat="false" ht="15" hidden="false" customHeight="false" outlineLevel="0" collapsed="false">
      <c r="A94" s="10" t="s">
        <v>791</v>
      </c>
      <c r="B94" s="10" t="s">
        <v>415</v>
      </c>
      <c r="C94" s="10" t="s">
        <v>792</v>
      </c>
      <c r="D94" s="10" t="n">
        <f aca="false">COUNTIF('Rule Traceability'!$D:$D,A94)</f>
        <v>1</v>
      </c>
    </row>
    <row r="95" customFormat="false" ht="15" hidden="false" customHeight="false" outlineLevel="0" collapsed="false">
      <c r="A95" s="10" t="s">
        <v>652</v>
      </c>
      <c r="B95" s="10" t="s">
        <v>415</v>
      </c>
      <c r="C95" s="10" t="s">
        <v>653</v>
      </c>
      <c r="D95" s="10" t="n">
        <f aca="false">COUNTIF('Rule Traceability'!$D:$D,A95)</f>
        <v>1</v>
      </c>
    </row>
    <row r="96" customFormat="false" ht="15" hidden="false" customHeight="false" outlineLevel="0" collapsed="false">
      <c r="A96" s="10" t="s">
        <v>656</v>
      </c>
      <c r="B96" s="10" t="s">
        <v>415</v>
      </c>
      <c r="C96" s="10" t="s">
        <v>658</v>
      </c>
      <c r="D96" s="10" t="n">
        <f aca="false">COUNTIF('Rule Traceability'!$D:$D,A96)</f>
        <v>2</v>
      </c>
    </row>
    <row r="97" customFormat="false" ht="15" hidden="false" customHeight="false" outlineLevel="0" collapsed="false">
      <c r="A97" s="10" t="s">
        <v>794</v>
      </c>
      <c r="B97" s="10" t="s">
        <v>415</v>
      </c>
      <c r="C97" s="10" t="s">
        <v>795</v>
      </c>
      <c r="D97" s="10" t="n">
        <f aca="false">COUNTIF('Rule Traceability'!$D:$D,A97)</f>
        <v>2</v>
      </c>
    </row>
    <row r="98" customFormat="false" ht="15" hidden="false" customHeight="false" outlineLevel="0" collapsed="false">
      <c r="A98" s="10" t="s">
        <v>660</v>
      </c>
      <c r="B98" s="10" t="s">
        <v>415</v>
      </c>
      <c r="C98" s="10" t="s">
        <v>662</v>
      </c>
      <c r="D98" s="10" t="n">
        <f aca="false">COUNTIF('Rule Traceability'!$D:$D,A98)</f>
        <v>1</v>
      </c>
    </row>
    <row r="99" customFormat="false" ht="15" hidden="false" customHeight="false" outlineLevel="0" collapsed="false">
      <c r="A99" s="10" t="s">
        <v>664</v>
      </c>
      <c r="B99" s="10" t="s">
        <v>415</v>
      </c>
      <c r="C99" s="10" t="s">
        <v>666</v>
      </c>
      <c r="D99" s="10" t="n">
        <f aca="false">COUNTIF('Rule Traceability'!$D:$D,A99)</f>
        <v>1</v>
      </c>
    </row>
    <row r="100" customFormat="false" ht="15" hidden="false" customHeight="false" outlineLevel="0" collapsed="false">
      <c r="A100" s="10" t="s">
        <v>797</v>
      </c>
      <c r="B100" s="10" t="s">
        <v>415</v>
      </c>
      <c r="C100" s="10" t="s">
        <v>799</v>
      </c>
      <c r="D100" s="10" t="n">
        <f aca="false">COUNTIF('Rule Traceability'!$D:$D,A100)</f>
        <v>1</v>
      </c>
    </row>
    <row r="101" customFormat="false" ht="15" hidden="false" customHeight="false" outlineLevel="0" collapsed="false">
      <c r="A101" s="10" t="s">
        <v>801</v>
      </c>
      <c r="B101" s="10" t="s">
        <v>415</v>
      </c>
      <c r="C101" s="10" t="s">
        <v>803</v>
      </c>
      <c r="D101" s="10" t="n">
        <f aca="false">COUNTIF('Rule Traceability'!$D:$D,A101)</f>
        <v>3</v>
      </c>
    </row>
    <row r="102" customFormat="false" ht="15" hidden="false" customHeight="false" outlineLevel="0" collapsed="false">
      <c r="A102" s="10" t="s">
        <v>806</v>
      </c>
      <c r="B102" s="10" t="s">
        <v>415</v>
      </c>
      <c r="C102" s="10" t="s">
        <v>808</v>
      </c>
      <c r="D102" s="10" t="n">
        <f aca="false">COUNTIF('Rule Traceability'!$D:$D,A102)</f>
        <v>4</v>
      </c>
    </row>
    <row r="103" customFormat="false" ht="15" hidden="false" customHeight="false" outlineLevel="0" collapsed="false">
      <c r="A103" s="10" t="s">
        <v>810</v>
      </c>
      <c r="B103" s="10" t="s">
        <v>415</v>
      </c>
      <c r="C103" s="10" t="s">
        <v>812</v>
      </c>
      <c r="D103" s="10" t="n">
        <f aca="false">COUNTIF('Rule Traceability'!$D:$D,A103)</f>
        <v>2</v>
      </c>
    </row>
    <row r="104" customFormat="false" ht="15" hidden="false" customHeight="false" outlineLevel="0" collapsed="false">
      <c r="A104" s="10" t="s">
        <v>668</v>
      </c>
      <c r="B104" s="10" t="s">
        <v>415</v>
      </c>
      <c r="C104" s="10" t="s">
        <v>669</v>
      </c>
      <c r="D104" s="10" t="n">
        <f aca="false">COUNTIF('Rule Traceability'!$D:$D,A104)</f>
        <v>1</v>
      </c>
    </row>
    <row r="105" customFormat="false" ht="15" hidden="false" customHeight="false" outlineLevel="0" collapsed="false">
      <c r="A105" s="10" t="s">
        <v>814</v>
      </c>
      <c r="B105" s="10" t="s">
        <v>415</v>
      </c>
      <c r="C105" s="10" t="s">
        <v>816</v>
      </c>
      <c r="D105" s="10" t="n">
        <f aca="false">COUNTIF('Rule Traceability'!$D:$D,A105)</f>
        <v>1</v>
      </c>
    </row>
    <row r="106" customFormat="false" ht="15" hidden="false" customHeight="false" outlineLevel="0" collapsed="false">
      <c r="A106" s="10" t="s">
        <v>837</v>
      </c>
      <c r="B106" s="10" t="s">
        <v>415</v>
      </c>
      <c r="C106" s="10" t="s">
        <v>839</v>
      </c>
      <c r="D106" s="10" t="n">
        <f aca="false">COUNTIF('Rule Traceability'!$D:$D,A106)</f>
        <v>1</v>
      </c>
    </row>
    <row r="107" customFormat="false" ht="15" hidden="false" customHeight="false" outlineLevel="0" collapsed="false">
      <c r="A107" s="10" t="s">
        <v>819</v>
      </c>
      <c r="B107" s="10" t="s">
        <v>415</v>
      </c>
      <c r="C107" s="10" t="s">
        <v>820</v>
      </c>
      <c r="D107" s="10" t="n">
        <f aca="false">COUNTIF('Rule Traceability'!$D:$D,A107)</f>
        <v>2</v>
      </c>
    </row>
    <row r="108" customFormat="false" ht="15" hidden="false" customHeight="false" outlineLevel="0" collapsed="false">
      <c r="A108" s="10" t="s">
        <v>822</v>
      </c>
      <c r="B108" s="10" t="s">
        <v>415</v>
      </c>
      <c r="C108" s="10" t="s">
        <v>824</v>
      </c>
      <c r="D108" s="10" t="n">
        <f aca="false">COUNTIF('Rule Traceability'!$D:$D,A108)</f>
        <v>1</v>
      </c>
    </row>
    <row r="109" customFormat="false" ht="15" hidden="false" customHeight="false" outlineLevel="0" collapsed="false">
      <c r="A109" s="10" t="s">
        <v>826</v>
      </c>
      <c r="B109" s="10" t="s">
        <v>415</v>
      </c>
      <c r="C109" s="10" t="s">
        <v>827</v>
      </c>
      <c r="D109" s="10" t="n">
        <f aca="false">COUNTIF('Rule Traceability'!$D:$D,A109)</f>
        <v>1</v>
      </c>
    </row>
    <row r="110" customFormat="false" ht="15" hidden="false" customHeight="false" outlineLevel="0" collapsed="false">
      <c r="A110" s="10" t="s">
        <v>829</v>
      </c>
      <c r="B110" s="10" t="s">
        <v>415</v>
      </c>
      <c r="C110" s="10" t="s">
        <v>831</v>
      </c>
      <c r="D110" s="10" t="n">
        <f aca="false">COUNTIF('Rule Traceability'!$D:$D,A110)</f>
        <v>1</v>
      </c>
    </row>
    <row r="111" customFormat="false" ht="15" hidden="false" customHeight="false" outlineLevel="0" collapsed="false">
      <c r="A111" s="10" t="s">
        <v>833</v>
      </c>
      <c r="B111" s="10" t="s">
        <v>415</v>
      </c>
      <c r="C111" s="10" t="s">
        <v>835</v>
      </c>
      <c r="D111" s="10" t="n">
        <f aca="false">COUNTIF('Rule Traceability'!$D:$D,A111)</f>
        <v>1</v>
      </c>
    </row>
    <row r="112" customFormat="false" ht="15" hidden="false" customHeight="false" outlineLevel="0" collapsed="false">
      <c r="A112" s="10" t="s">
        <v>603</v>
      </c>
      <c r="B112" s="10" t="s">
        <v>415</v>
      </c>
      <c r="C112" s="10" t="s">
        <v>605</v>
      </c>
      <c r="D112" s="10" t="n">
        <f aca="false">COUNTIF('Rule Traceability'!$D:$D,A112)</f>
        <v>2</v>
      </c>
    </row>
    <row r="113" customFormat="false" ht="15" hidden="false" customHeight="false" outlineLevel="0" collapsed="false">
      <c r="A113" s="10" t="s">
        <v>876</v>
      </c>
      <c r="B113" s="10" t="s">
        <v>842</v>
      </c>
      <c r="C113" s="10" t="s">
        <v>878</v>
      </c>
      <c r="D113" s="10" t="n">
        <f aca="false">COUNTIF('Rule Traceability'!$D:$D,A113)</f>
        <v>1</v>
      </c>
    </row>
    <row r="114" customFormat="false" ht="15" hidden="false" customHeight="false" outlineLevel="0" collapsed="false">
      <c r="A114" s="10" t="s">
        <v>881</v>
      </c>
      <c r="B114" s="10" t="s">
        <v>842</v>
      </c>
      <c r="C114" s="10" t="s">
        <v>882</v>
      </c>
      <c r="D114" s="10" t="n">
        <f aca="false">COUNTIF('Rule Traceability'!$D:$D,A114)</f>
        <v>1</v>
      </c>
    </row>
    <row r="115" customFormat="false" ht="15" hidden="false" customHeight="false" outlineLevel="0" collapsed="false">
      <c r="A115" s="10" t="s">
        <v>883</v>
      </c>
      <c r="B115" s="10" t="s">
        <v>842</v>
      </c>
      <c r="C115" s="10" t="s">
        <v>884</v>
      </c>
      <c r="D115" s="10" t="n">
        <f aca="false">COUNTIF('Rule Traceability'!$D:$D,A115)</f>
        <v>1</v>
      </c>
    </row>
    <row r="116" customFormat="false" ht="15" hidden="false" customHeight="false" outlineLevel="0" collapsed="false">
      <c r="A116" s="10" t="s">
        <v>885</v>
      </c>
      <c r="B116" s="10" t="s">
        <v>842</v>
      </c>
      <c r="C116" s="10" t="s">
        <v>887</v>
      </c>
      <c r="D116" s="10" t="n">
        <f aca="false">COUNTIF('Rule Traceability'!$D:$D,A116)</f>
        <v>1</v>
      </c>
    </row>
    <row r="117" customFormat="false" ht="15" hidden="false" customHeight="false" outlineLevel="0" collapsed="false">
      <c r="A117" s="10" t="s">
        <v>890</v>
      </c>
      <c r="B117" s="10" t="s">
        <v>842</v>
      </c>
      <c r="C117" s="10" t="s">
        <v>891</v>
      </c>
      <c r="D117" s="10" t="n">
        <f aca="false">COUNTIF('Rule Traceability'!$D:$D,A117)</f>
        <v>1</v>
      </c>
    </row>
    <row r="118" customFormat="false" ht="15" hidden="false" customHeight="false" outlineLevel="0" collapsed="false">
      <c r="A118" s="10" t="s">
        <v>841</v>
      </c>
      <c r="B118" s="10" t="s">
        <v>842</v>
      </c>
      <c r="C118" s="10" t="s">
        <v>844</v>
      </c>
      <c r="D118" s="10" t="n">
        <f aca="false">COUNTIF('Rule Traceability'!$D:$D,A118)</f>
        <v>2</v>
      </c>
    </row>
    <row r="119" customFormat="false" ht="15" hidden="false" customHeight="false" outlineLevel="0" collapsed="false">
      <c r="A119" s="10" t="s">
        <v>846</v>
      </c>
      <c r="B119" s="10" t="s">
        <v>842</v>
      </c>
      <c r="C119" s="10" t="s">
        <v>848</v>
      </c>
      <c r="D119" s="10" t="n">
        <f aca="false">COUNTIF('Rule Traceability'!$D:$D,A119)</f>
        <v>2</v>
      </c>
    </row>
    <row r="120" customFormat="false" ht="15" hidden="false" customHeight="false" outlineLevel="0" collapsed="false">
      <c r="A120" s="10" t="s">
        <v>580</v>
      </c>
      <c r="B120" s="10" t="s">
        <v>335</v>
      </c>
      <c r="C120" s="10" t="s">
        <v>582</v>
      </c>
      <c r="D120" s="10" t="n">
        <f aca="false">COUNTIF('Rule Traceability'!$D:$D,A120)</f>
        <v>1</v>
      </c>
    </row>
    <row r="121" customFormat="false" ht="15" hidden="false" customHeight="false" outlineLevel="0" collapsed="false">
      <c r="A121" s="10" t="s">
        <v>421</v>
      </c>
      <c r="B121" s="10" t="s">
        <v>335</v>
      </c>
      <c r="C121" s="10" t="s">
        <v>423</v>
      </c>
      <c r="D121" s="10" t="n">
        <f aca="false">COUNTIF('Rule Traceability'!$D:$D,A121)</f>
        <v>2</v>
      </c>
    </row>
    <row r="122" customFormat="false" ht="15" hidden="false" customHeight="false" outlineLevel="0" collapsed="false">
      <c r="A122" s="10" t="s">
        <v>426</v>
      </c>
      <c r="B122" s="10" t="s">
        <v>335</v>
      </c>
      <c r="C122" s="10" t="s">
        <v>428</v>
      </c>
      <c r="D122" s="10" t="n">
        <f aca="false">COUNTIF('Rule Traceability'!$D:$D,A122)</f>
        <v>2</v>
      </c>
    </row>
    <row r="123" customFormat="false" ht="15" hidden="false" customHeight="false" outlineLevel="0" collapsed="false">
      <c r="A123" s="10" t="s">
        <v>334</v>
      </c>
      <c r="B123" s="10" t="s">
        <v>335</v>
      </c>
      <c r="C123" s="10" t="s">
        <v>337</v>
      </c>
      <c r="D123" s="10" t="n">
        <f aca="false">COUNTIF('Rule Traceability'!$D:$D,A123)</f>
        <v>1</v>
      </c>
    </row>
    <row r="124" customFormat="false" ht="15" hidden="false" customHeight="false" outlineLevel="0" collapsed="false">
      <c r="A124" s="10" t="s">
        <v>343</v>
      </c>
      <c r="B124" s="10" t="s">
        <v>335</v>
      </c>
      <c r="C124" s="10" t="s">
        <v>345</v>
      </c>
      <c r="D124" s="10" t="n">
        <f aca="false">COUNTIF('Rule Traceability'!$D:$D,A124)</f>
        <v>1</v>
      </c>
    </row>
    <row r="125" customFormat="false" ht="15" hidden="false" customHeight="false" outlineLevel="0" collapsed="false">
      <c r="A125" s="10" t="s">
        <v>402</v>
      </c>
      <c r="B125" s="10" t="s">
        <v>335</v>
      </c>
      <c r="C125" s="10" t="s">
        <v>404</v>
      </c>
      <c r="D125" s="10" t="n">
        <f aca="false">COUNTIF('Rule Traceability'!$D:$D,A125)</f>
        <v>2</v>
      </c>
    </row>
    <row r="126" customFormat="false" ht="15" hidden="false" customHeight="false" outlineLevel="0" collapsed="false">
      <c r="A126" s="10" t="s">
        <v>410</v>
      </c>
      <c r="B126" s="10" t="s">
        <v>335</v>
      </c>
      <c r="C126" s="10" t="s">
        <v>412</v>
      </c>
      <c r="D126" s="10" t="n">
        <f aca="false">COUNTIF('Rule Traceability'!$D:$D,A126)</f>
        <v>1</v>
      </c>
    </row>
    <row r="127" customFormat="false" ht="15" hidden="false" customHeight="false" outlineLevel="0" collapsed="false">
      <c r="A127" s="10" t="s">
        <v>608</v>
      </c>
      <c r="B127" s="10" t="s">
        <v>335</v>
      </c>
      <c r="C127" s="10" t="s">
        <v>610</v>
      </c>
      <c r="D127" s="10" t="n">
        <f aca="false">COUNTIF('Rule Traceability'!$D:$D,A127)</f>
        <v>2</v>
      </c>
    </row>
    <row r="128" customFormat="false" ht="15" hidden="false" customHeight="false" outlineLevel="0" collapsed="false">
      <c r="A128" s="10" t="s">
        <v>613</v>
      </c>
      <c r="B128" s="10" t="s">
        <v>335</v>
      </c>
      <c r="C128" s="10" t="s">
        <v>614</v>
      </c>
      <c r="D128" s="10" t="n">
        <f aca="false">COUNTIF('Rule Traceability'!$D:$D,A128)</f>
        <v>2</v>
      </c>
    </row>
    <row r="129" customFormat="false" ht="15" hidden="false" customHeight="false" outlineLevel="0" collapsed="false">
      <c r="A129" s="10" t="s">
        <v>407</v>
      </c>
      <c r="B129" s="10" t="s">
        <v>335</v>
      </c>
      <c r="C129" s="10" t="s">
        <v>409</v>
      </c>
      <c r="D129" s="10" t="n">
        <f aca="false">COUNTIF('Rule Traceability'!$D:$D,A129)</f>
        <v>2</v>
      </c>
    </row>
    <row r="130" customFormat="false" ht="15" hidden="false" customHeight="false" outlineLevel="0" collapsed="false">
      <c r="A130" s="10" t="s">
        <v>621</v>
      </c>
      <c r="B130" s="10" t="s">
        <v>335</v>
      </c>
      <c r="C130" s="10" t="s">
        <v>623</v>
      </c>
      <c r="D130" s="10" t="n">
        <f aca="false">COUNTIF('Rule Traceability'!$D:$D,A130)</f>
        <v>2</v>
      </c>
    </row>
    <row r="131" customFormat="false" ht="15" hidden="false" customHeight="false" outlineLevel="0" collapsed="false">
      <c r="A131" s="10" t="s">
        <v>626</v>
      </c>
      <c r="B131" s="10" t="s">
        <v>335</v>
      </c>
      <c r="C131" s="10" t="s">
        <v>628</v>
      </c>
      <c r="D131" s="10" t="n">
        <f aca="false">COUNTIF('Rule Traceability'!$D:$D,A131)</f>
        <v>1</v>
      </c>
    </row>
    <row r="132" customFormat="false" ht="15" hidden="false" customHeight="false" outlineLevel="0" collapsed="false">
      <c r="A132" s="10" t="s">
        <v>629</v>
      </c>
      <c r="B132" s="10" t="s">
        <v>335</v>
      </c>
      <c r="C132" s="10" t="s">
        <v>631</v>
      </c>
      <c r="D132" s="10" t="n">
        <f aca="false">COUNTIF('Rule Traceability'!$D:$D,A132)</f>
        <v>1</v>
      </c>
    </row>
    <row r="133" customFormat="false" ht="15" hidden="false" customHeight="false" outlineLevel="0" collapsed="false">
      <c r="A133" s="10" t="s">
        <v>633</v>
      </c>
      <c r="B133" s="10" t="s">
        <v>335</v>
      </c>
      <c r="C133" s="10" t="s">
        <v>635</v>
      </c>
      <c r="D133" s="10" t="n">
        <f aca="false">COUNTIF('Rule Traceability'!$D:$D,A133)</f>
        <v>4</v>
      </c>
    </row>
    <row r="134" customFormat="false" ht="15" hidden="false" customHeight="false" outlineLevel="0" collapsed="false">
      <c r="A134" s="10" t="s">
        <v>636</v>
      </c>
      <c r="B134" s="10" t="s">
        <v>335</v>
      </c>
      <c r="C134" s="10" t="s">
        <v>638</v>
      </c>
      <c r="D134" s="10" t="n">
        <f aca="false">COUNTIF('Rule Traceability'!$D:$D,A134)</f>
        <v>2</v>
      </c>
    </row>
    <row r="135" customFormat="false" ht="15" hidden="false" customHeight="false" outlineLevel="0" collapsed="false">
      <c r="A135" s="10" t="s">
        <v>639</v>
      </c>
      <c r="B135" s="10" t="s">
        <v>335</v>
      </c>
      <c r="C135" s="10" t="s">
        <v>640</v>
      </c>
      <c r="D135" s="10" t="n">
        <f aca="false">COUNTIF('Rule Traceability'!$D:$D,A135)</f>
        <v>1</v>
      </c>
    </row>
    <row r="136" customFormat="false" ht="15" hidden="false" customHeight="false" outlineLevel="0" collapsed="false">
      <c r="A136" s="10" t="s">
        <v>348</v>
      </c>
      <c r="B136" s="10" t="s">
        <v>335</v>
      </c>
      <c r="C136" s="10" t="s">
        <v>350</v>
      </c>
      <c r="D136" s="10" t="n">
        <f aca="false">COUNTIF('Rule Traceability'!$D:$D,A136)</f>
        <v>2</v>
      </c>
    </row>
    <row r="137" customFormat="false" ht="15" hidden="false" customHeight="false" outlineLevel="0" collapsed="false">
      <c r="A137" s="10" t="s">
        <v>353</v>
      </c>
      <c r="B137" s="10" t="s">
        <v>335</v>
      </c>
      <c r="C137" s="10" t="s">
        <v>355</v>
      </c>
      <c r="D137" s="10" t="n">
        <f aca="false">COUNTIF('Rule Traceability'!$D:$D,A137)</f>
        <v>3</v>
      </c>
    </row>
    <row r="138" customFormat="false" ht="15" hidden="false" customHeight="false" outlineLevel="0" collapsed="false">
      <c r="A138" s="10" t="s">
        <v>587</v>
      </c>
      <c r="B138" s="10" t="s">
        <v>335</v>
      </c>
      <c r="C138" s="10" t="s">
        <v>589</v>
      </c>
      <c r="D138" s="10" t="n">
        <f aca="false">COUNTIF('Rule Traceability'!$D:$D,A138)</f>
        <v>1</v>
      </c>
    </row>
    <row r="139" customFormat="false" ht="15" hidden="false" customHeight="false" outlineLevel="0" collapsed="false">
      <c r="A139" s="10" t="s">
        <v>592</v>
      </c>
      <c r="B139" s="10" t="s">
        <v>335</v>
      </c>
      <c r="C139" s="10" t="s">
        <v>593</v>
      </c>
      <c r="D139" s="10" t="n">
        <f aca="false">COUNTIF('Rule Traceability'!$D:$D,A139)</f>
        <v>1</v>
      </c>
    </row>
    <row r="140" customFormat="false" ht="15" hidden="false" customHeight="false" outlineLevel="0" collapsed="false">
      <c r="A140" s="10" t="s">
        <v>642</v>
      </c>
      <c r="B140" s="10" t="s">
        <v>335</v>
      </c>
      <c r="C140" s="10" t="s">
        <v>644</v>
      </c>
      <c r="D140" s="10" t="n">
        <f aca="false">COUNTIF('Rule Traceability'!$D:$D,A140)</f>
        <v>3</v>
      </c>
    </row>
    <row r="141" customFormat="false" ht="15" hidden="false" customHeight="false" outlineLevel="0" collapsed="false">
      <c r="A141" s="10" t="s">
        <v>596</v>
      </c>
      <c r="B141" s="10" t="s">
        <v>335</v>
      </c>
      <c r="C141" s="10" t="s">
        <v>598</v>
      </c>
      <c r="D141" s="10" t="n">
        <f aca="false">COUNTIF('Rule Traceability'!$D:$D,A141)</f>
        <v>3</v>
      </c>
    </row>
    <row r="142" customFormat="false" ht="15" hidden="false" customHeight="false" outlineLevel="0" collapsed="false">
      <c r="A142" s="10" t="s">
        <v>396</v>
      </c>
      <c r="B142" s="10" t="s">
        <v>335</v>
      </c>
      <c r="C142" s="10" t="s">
        <v>398</v>
      </c>
      <c r="D142" s="10" t="n">
        <f aca="false">COUNTIF('Rule Traceability'!$D:$D,A142)</f>
        <v>2</v>
      </c>
    </row>
    <row r="143" customFormat="false" ht="15" hidden="false" customHeight="false" outlineLevel="0" collapsed="false">
      <c r="A143" s="10" t="s">
        <v>600</v>
      </c>
      <c r="B143" s="10" t="s">
        <v>335</v>
      </c>
      <c r="C143" s="10" t="s">
        <v>602</v>
      </c>
      <c r="D143" s="10" t="n">
        <f aca="false">COUNTIF('Rule Traceability'!$D:$D,A143)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10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921</v>
      </c>
    </row>
    <row r="2" customFormat="false" ht="23.85" hidden="false" customHeight="false" outlineLevel="0" collapsed="false">
      <c r="A2" s="6" t="s">
        <v>32</v>
      </c>
      <c r="B2" s="6" t="s">
        <v>33</v>
      </c>
      <c r="C2" s="6" t="s">
        <v>922</v>
      </c>
    </row>
    <row r="3" customFormat="false" ht="23.85" hidden="false" customHeight="false" outlineLevel="0" collapsed="false">
      <c r="A3" s="6" t="s">
        <v>90</v>
      </c>
      <c r="B3" s="6" t="s">
        <v>91</v>
      </c>
      <c r="C3" s="6" t="s">
        <v>923</v>
      </c>
    </row>
    <row r="4" customFormat="false" ht="23.85" hidden="false" customHeight="false" outlineLevel="0" collapsed="false">
      <c r="A4" s="6" t="s">
        <v>165</v>
      </c>
      <c r="B4" s="6" t="s">
        <v>166</v>
      </c>
      <c r="C4" s="6" t="s">
        <v>924</v>
      </c>
    </row>
    <row r="5" customFormat="false" ht="15" hidden="false" customHeight="false" outlineLevel="0" collapsed="false">
      <c r="A5" s="6" t="s">
        <v>256</v>
      </c>
      <c r="B5" s="6" t="s">
        <v>257</v>
      </c>
      <c r="C5" s="6" t="s">
        <v>925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2026-09-24T04:05:06Z</dcterms:created>
  <dc:creator>openpyxl</dc:creator>
  <dc:description/>
  <dc:language>en-US</dc:language>
  <cp:lastModifiedBy/>
  <dcterms:modified xsi:type="dcterms:W3CDTF">2026-09-24T04:05:06Z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